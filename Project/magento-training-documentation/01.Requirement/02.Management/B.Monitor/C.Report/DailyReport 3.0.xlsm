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105" windowWidth="11910" windowHeight="5460"/>
  </bookViews>
  <sheets>
    <sheet name="DailyReport_Template" sheetId="1" r:id="rId1"/>
    <sheet name="Log_Data" sheetId="2" r:id="rId2"/>
  </sheets>
  <calcPr calcId="124519" concurrentManualCount="2"/>
</workbook>
</file>

<file path=xl/calcChain.xml><?xml version="1.0" encoding="utf-8"?>
<calcChain xmlns="http://schemas.openxmlformats.org/spreadsheetml/2006/main">
  <c r="J5" i="2"/>
  <c r="R4"/>
  <c r="N4"/>
  <c r="N3"/>
  <c r="N2"/>
  <c r="K7"/>
  <c r="C3"/>
  <c r="C2"/>
  <c r="A5" i="1"/>
  <c r="H5" s="1"/>
  <c r="C25"/>
  <c r="C9"/>
  <c r="R3" i="2" l="1"/>
  <c r="R2"/>
</calcChain>
</file>

<file path=xl/comments1.xml><?xml version="1.0" encoding="utf-8"?>
<comments xmlns="http://schemas.openxmlformats.org/spreadsheetml/2006/main">
  <authors>
    <author>Nhan Chau Thanh</author>
  </authors>
  <commentList>
    <comment ref="A13" authorId="0">
      <text>
        <r>
          <rPr>
            <b/>
            <sz val="9"/>
            <color indexed="81"/>
            <rFont val="Tahoma"/>
            <family val="2"/>
          </rPr>
          <t>Nhan Chau Thanh:</t>
        </r>
        <r>
          <rPr>
            <sz val="9"/>
            <color indexed="81"/>
            <rFont val="Tahoma"/>
            <family val="2"/>
          </rPr>
          <t xml:space="preserve">
Them task tu khu vuc nay xuong</t>
        </r>
      </text>
    </comment>
  </commentList>
</comments>
</file>

<file path=xl/sharedStrings.xml><?xml version="1.0" encoding="utf-8"?>
<sst xmlns="http://schemas.openxmlformats.org/spreadsheetml/2006/main" count="62" uniqueCount="45">
  <si>
    <t>To:</t>
  </si>
  <si>
    <t>Cc:</t>
  </si>
  <si>
    <t>Subject:</t>
  </si>
  <si>
    <t>Daily Report</t>
  </si>
  <si>
    <t>Name:</t>
  </si>
  <si>
    <t>Daily Report:</t>
  </si>
  <si>
    <t>Problem</t>
  </si>
  <si>
    <t>1. Problem 1</t>
  </si>
  <si>
    <t>2. Problem 2</t>
  </si>
  <si>
    <t>--End--</t>
  </si>
  <si>
    <t>Chau Thanh Nhan</t>
  </si>
  <si>
    <t>Sent Time</t>
  </si>
  <si>
    <t>From</t>
  </si>
  <si>
    <t>nhan.ct@tctav.com</t>
  </si>
  <si>
    <t>Chau Thanh Nhan&lt;nhan.ct@tctav.com&gt;</t>
  </si>
  <si>
    <t>Action</t>
  </si>
  <si>
    <t>Task</t>
  </si>
  <si>
    <t>Start Date</t>
  </si>
  <si>
    <t>Due Date</t>
  </si>
  <si>
    <t>Status</t>
  </si>
  <si>
    <t>ID</t>
  </si>
  <si>
    <t>%</t>
  </si>
  <si>
    <t>Project:</t>
  </si>
  <si>
    <t>Plan</t>
  </si>
  <si>
    <t>Next Day</t>
  </si>
  <si>
    <t>Magento Training</t>
  </si>
  <si>
    <t xml:space="preserve">[MagentoTraining] Daily Report </t>
  </si>
  <si>
    <t>Today</t>
  </si>
  <si>
    <t>#</t>
  </si>
  <si>
    <t>Implementation</t>
  </si>
  <si>
    <t>Plan(h)</t>
  </si>
  <si>
    <t>#13</t>
  </si>
  <si>
    <t>Unit Test</t>
  </si>
  <si>
    <t>InProgress</t>
  </si>
  <si>
    <t>Actual(h)</t>
  </si>
  <si>
    <t>Actual</t>
  </si>
  <si>
    <t>Completed</t>
  </si>
  <si>
    <t>New</t>
  </si>
  <si>
    <t>Schedule</t>
  </si>
  <si>
    <t>Go-ahead</t>
  </si>
  <si>
    <t>Be-lated</t>
  </si>
  <si>
    <t>#16</t>
  </si>
  <si>
    <t>On-Schedule</t>
  </si>
  <si>
    <t>#0</t>
  </si>
  <si>
    <t>Sample(Don’t Remove)</t>
  </si>
</sst>
</file>

<file path=xl/styles.xml><?xml version="1.0" encoding="utf-8"?>
<styleSheet xmlns="http://schemas.openxmlformats.org/spreadsheetml/2006/main">
  <fonts count="1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71">
    <xf numFmtId="0" fontId="0" fillId="0" borderId="0" xfId="0"/>
    <xf numFmtId="0" fontId="0" fillId="0" borderId="0" xfId="0" applyFont="1"/>
    <xf numFmtId="0" fontId="0" fillId="3" borderId="2" xfId="0" applyFill="1" applyBorder="1"/>
    <xf numFmtId="0" fontId="0" fillId="3" borderId="0" xfId="0" applyFill="1" applyBorder="1"/>
    <xf numFmtId="0" fontId="0" fillId="3" borderId="6" xfId="0" applyFill="1" applyBorder="1"/>
    <xf numFmtId="0" fontId="1" fillId="3" borderId="1" xfId="0" applyFont="1" applyFill="1" applyBorder="1"/>
    <xf numFmtId="0" fontId="1" fillId="3" borderId="4" xfId="0" applyFont="1" applyFill="1" applyBorder="1"/>
    <xf numFmtId="0" fontId="1" fillId="3" borderId="6" xfId="0" applyFont="1" applyFill="1" applyBorder="1"/>
    <xf numFmtId="0" fontId="0" fillId="3" borderId="3" xfId="0" applyFont="1" applyFill="1" applyBorder="1"/>
    <xf numFmtId="0" fontId="0" fillId="3" borderId="0" xfId="0" applyFont="1" applyFill="1" applyBorder="1"/>
    <xf numFmtId="0" fontId="0" fillId="3" borderId="5" xfId="0" applyFont="1" applyFill="1" applyBorder="1"/>
    <xf numFmtId="0" fontId="0" fillId="3" borderId="4" xfId="0" applyFont="1" applyFill="1" applyBorder="1"/>
    <xf numFmtId="0" fontId="2" fillId="3" borderId="4" xfId="0" applyFont="1" applyFill="1" applyBorder="1"/>
    <xf numFmtId="0" fontId="0" fillId="3" borderId="0" xfId="0" quotePrefix="1" applyFont="1" applyFill="1" applyBorder="1"/>
    <xf numFmtId="0" fontId="0" fillId="3" borderId="0" xfId="0" applyFont="1" applyFill="1" applyBorder="1" applyAlignment="1">
      <alignment horizontal="left"/>
    </xf>
    <xf numFmtId="0" fontId="0" fillId="3" borderId="8" xfId="0" applyFont="1" applyFill="1" applyBorder="1"/>
    <xf numFmtId="0" fontId="1" fillId="0" borderId="1" xfId="0" applyFont="1" applyBorder="1"/>
    <xf numFmtId="0" fontId="0" fillId="0" borderId="0" xfId="0" quotePrefix="1"/>
    <xf numFmtId="0" fontId="4" fillId="3" borderId="4" xfId="0" applyFont="1" applyFill="1" applyBorder="1"/>
    <xf numFmtId="0" fontId="1" fillId="3" borderId="0" xfId="0" applyFont="1" applyFill="1" applyBorder="1"/>
    <xf numFmtId="14" fontId="0" fillId="3" borderId="0" xfId="0" applyNumberFormat="1" applyFont="1" applyFill="1" applyBorder="1" applyAlignment="1">
      <alignment horizontal="left"/>
    </xf>
    <xf numFmtId="0" fontId="0" fillId="3" borderId="0" xfId="0" applyFont="1" applyFill="1" applyBorder="1" applyAlignment="1">
      <alignment horizontal="left"/>
    </xf>
    <xf numFmtId="14" fontId="0" fillId="3" borderId="0" xfId="0" applyNumberFormat="1" applyFont="1" applyFill="1" applyBorder="1" applyAlignment="1">
      <alignment horizontal="left"/>
    </xf>
    <xf numFmtId="0" fontId="6" fillId="3" borderId="9" xfId="0" applyFont="1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6" fillId="3" borderId="9" xfId="0" applyFont="1" applyFill="1" applyBorder="1" applyAlignment="1"/>
    <xf numFmtId="0" fontId="6" fillId="3" borderId="10" xfId="0" applyFont="1" applyFill="1" applyBorder="1" applyAlignment="1">
      <alignment horizontal="center"/>
    </xf>
    <xf numFmtId="0" fontId="6" fillId="3" borderId="4" xfId="0" applyFont="1" applyFill="1" applyBorder="1" applyAlignment="1"/>
    <xf numFmtId="0" fontId="6" fillId="3" borderId="0" xfId="0" applyFont="1" applyFill="1" applyBorder="1" applyAlignment="1">
      <alignment horizontal="center"/>
    </xf>
    <xf numFmtId="0" fontId="0" fillId="3" borderId="5" xfId="0" applyFill="1" applyBorder="1"/>
    <xf numFmtId="0" fontId="0" fillId="3" borderId="7" xfId="0" applyFill="1" applyBorder="1" applyAlignment="1"/>
    <xf numFmtId="0" fontId="0" fillId="3" borderId="8" xfId="0" applyFont="1" applyFill="1" applyBorder="1" applyAlignment="1"/>
    <xf numFmtId="14" fontId="0" fillId="3" borderId="7" xfId="0" applyNumberFormat="1" applyFill="1" applyBorder="1" applyAlignment="1"/>
    <xf numFmtId="14" fontId="5" fillId="0" borderId="0" xfId="0" applyNumberFormat="1" applyFont="1"/>
    <xf numFmtId="0" fontId="0" fillId="4" borderId="4" xfId="0" applyFill="1" applyBorder="1"/>
    <xf numFmtId="0" fontId="7" fillId="4" borderId="4" xfId="0" applyFont="1" applyFill="1" applyBorder="1"/>
    <xf numFmtId="0" fontId="0" fillId="3" borderId="5" xfId="0" applyFill="1" applyBorder="1" applyAlignment="1">
      <alignment horizontal="center"/>
    </xf>
    <xf numFmtId="22" fontId="0" fillId="3" borderId="7" xfId="0" applyNumberFormat="1" applyFont="1" applyFill="1" applyBorder="1" applyAlignment="1"/>
    <xf numFmtId="14" fontId="0" fillId="3" borderId="0" xfId="0" applyNumberFormat="1" applyFont="1" applyFill="1" applyBorder="1"/>
    <xf numFmtId="14" fontId="6" fillId="3" borderId="0" xfId="0" applyNumberFormat="1" applyFont="1" applyFill="1" applyBorder="1" applyAlignment="1">
      <alignment horizontal="center"/>
    </xf>
    <xf numFmtId="14" fontId="0" fillId="4" borderId="0" xfId="0" applyNumberFormat="1" applyFont="1" applyFill="1" applyBorder="1" applyAlignment="1">
      <alignment horizontal="left"/>
    </xf>
    <xf numFmtId="0" fontId="0" fillId="4" borderId="5" xfId="0" applyFont="1" applyFill="1" applyBorder="1"/>
    <xf numFmtId="0" fontId="0" fillId="0" borderId="9" xfId="0" applyBorder="1"/>
    <xf numFmtId="0" fontId="0" fillId="4" borderId="9" xfId="0" applyFill="1" applyBorder="1"/>
    <xf numFmtId="14" fontId="0" fillId="3" borderId="0" xfId="0" applyNumberFormat="1" applyFont="1" applyFill="1" applyBorder="1" applyAlignment="1">
      <alignment horizontal="left"/>
    </xf>
    <xf numFmtId="0" fontId="6" fillId="3" borderId="10" xfId="0" applyFont="1" applyFill="1" applyBorder="1" applyAlignment="1">
      <alignment horizontal="center"/>
    </xf>
    <xf numFmtId="0" fontId="3" fillId="0" borderId="2" xfId="1" applyBorder="1" applyAlignment="1" applyProtection="1">
      <alignment horizontal="left"/>
    </xf>
    <xf numFmtId="0" fontId="3" fillId="0" borderId="3" xfId="1" applyBorder="1" applyAlignment="1" applyProtection="1">
      <alignment horizontal="left"/>
    </xf>
    <xf numFmtId="22" fontId="0" fillId="3" borderId="7" xfId="0" applyNumberFormat="1" applyFont="1" applyFill="1" applyBorder="1" applyAlignment="1">
      <alignment horizontal="left"/>
    </xf>
    <xf numFmtId="14" fontId="0" fillId="3" borderId="0" xfId="0" applyNumberFormat="1" applyFont="1" applyFill="1" applyBorder="1" applyAlignment="1">
      <alignment horizontal="left"/>
    </xf>
    <xf numFmtId="0" fontId="0" fillId="2" borderId="6" xfId="0" applyFont="1" applyFill="1" applyBorder="1" applyAlignment="1">
      <alignment horizontal="center"/>
    </xf>
    <xf numFmtId="0" fontId="0" fillId="2" borderId="7" xfId="0" applyFont="1" applyFill="1" applyBorder="1" applyAlignment="1">
      <alignment horizontal="center"/>
    </xf>
    <xf numFmtId="0" fontId="0" fillId="2" borderId="8" xfId="0" applyFont="1" applyFill="1" applyBorder="1" applyAlignment="1">
      <alignment horizontal="center"/>
    </xf>
    <xf numFmtId="0" fontId="3" fillId="3" borderId="0" xfId="1" applyFill="1" applyBorder="1" applyAlignment="1" applyProtection="1">
      <alignment horizontal="left"/>
    </xf>
    <xf numFmtId="0" fontId="0" fillId="3" borderId="5" xfId="0" applyFont="1" applyFill="1" applyBorder="1" applyAlignment="1">
      <alignment horizontal="left"/>
    </xf>
    <xf numFmtId="0" fontId="0" fillId="3" borderId="0" xfId="0" applyFont="1" applyFill="1" applyBorder="1" applyAlignment="1">
      <alignment horizontal="center"/>
    </xf>
    <xf numFmtId="0" fontId="0" fillId="3" borderId="5" xfId="0" applyFont="1" applyFill="1" applyBorder="1" applyAlignment="1">
      <alignment horizontal="center"/>
    </xf>
    <xf numFmtId="0" fontId="6" fillId="3" borderId="11" xfId="0" applyFont="1" applyFill="1" applyBorder="1" applyAlignment="1">
      <alignment horizontal="center"/>
    </xf>
    <xf numFmtId="0" fontId="6" fillId="3" borderId="10" xfId="0" applyFont="1" applyFill="1" applyBorder="1" applyAlignment="1">
      <alignment horizontal="center"/>
    </xf>
    <xf numFmtId="0" fontId="4" fillId="4" borderId="4" xfId="0" applyFont="1" applyFill="1" applyBorder="1" applyAlignment="1">
      <alignment horizontal="left"/>
    </xf>
    <xf numFmtId="0" fontId="4" fillId="4" borderId="0" xfId="0" applyFont="1" applyFill="1" applyBorder="1" applyAlignment="1">
      <alignment horizontal="left"/>
    </xf>
    <xf numFmtId="0" fontId="1" fillId="4" borderId="0" xfId="0" applyFont="1" applyFill="1" applyBorder="1" applyAlignment="1">
      <alignment horizontal="left"/>
    </xf>
    <xf numFmtId="0" fontId="1" fillId="4" borderId="5" xfId="0" applyFont="1" applyFill="1" applyBorder="1" applyAlignment="1">
      <alignment horizontal="left"/>
    </xf>
    <xf numFmtId="0" fontId="0" fillId="3" borderId="2" xfId="0" applyFill="1" applyBorder="1" applyAlignment="1">
      <alignment horizontal="center"/>
    </xf>
    <xf numFmtId="0" fontId="6" fillId="3" borderId="2" xfId="0" applyFont="1" applyFill="1" applyBorder="1" applyAlignment="1">
      <alignment horizontal="center" wrapText="1"/>
    </xf>
    <xf numFmtId="0" fontId="0" fillId="4" borderId="0" xfId="0" applyFont="1" applyFill="1" applyBorder="1"/>
    <xf numFmtId="0" fontId="0" fillId="0" borderId="0" xfId="0" applyFill="1" applyBorder="1"/>
    <xf numFmtId="0" fontId="6" fillId="3" borderId="0" xfId="0" applyFont="1" applyFill="1" applyBorder="1" applyAlignment="1">
      <alignment horizontal="right"/>
    </xf>
    <xf numFmtId="0" fontId="10" fillId="3" borderId="0" xfId="0" applyFont="1" applyFill="1" applyBorder="1" applyAlignment="1">
      <alignment horizontal="center"/>
    </xf>
    <xf numFmtId="0" fontId="1" fillId="3" borderId="0" xfId="0" applyFont="1" applyFill="1" applyBorder="1" applyAlignment="1">
      <alignment horizontal="center"/>
    </xf>
    <xf numFmtId="0" fontId="11" fillId="3" borderId="0" xfId="0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pieChart>
        <c:varyColors val="1"/>
        <c:ser>
          <c:idx val="0"/>
          <c:order val="0"/>
          <c:cat>
            <c:strRef>
              <c:f>Log_Data!$M$2:$M$4</c:f>
              <c:strCache>
                <c:ptCount val="3"/>
                <c:pt idx="0">
                  <c:v>New</c:v>
                </c:pt>
                <c:pt idx="1">
                  <c:v>InProgress</c:v>
                </c:pt>
                <c:pt idx="2">
                  <c:v>Completed</c:v>
                </c:pt>
              </c:strCache>
            </c:strRef>
          </c:cat>
          <c:val>
            <c:numRef>
              <c:f>Log_Data!$N$2:$N$4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firstSliceAng val="0"/>
      </c:pieChart>
    </c:plotArea>
    <c:legend>
      <c:legendPos val="r"/>
      <c:layout/>
      <c:txPr>
        <a:bodyPr/>
        <a:lstStyle/>
        <a:p>
          <a:pPr rtl="0">
            <a:defRPr/>
          </a:pPr>
          <a:endParaRPr lang="en-US"/>
        </a:p>
      </c:txPr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pieChart>
        <c:varyColors val="1"/>
        <c:ser>
          <c:idx val="0"/>
          <c:order val="0"/>
          <c:cat>
            <c:strRef>
              <c:f>Log_Data!$Q$2:$Q$4</c:f>
              <c:strCache>
                <c:ptCount val="3"/>
                <c:pt idx="0">
                  <c:v>Go-ahead</c:v>
                </c:pt>
                <c:pt idx="1">
                  <c:v>On-Schedule</c:v>
                </c:pt>
                <c:pt idx="2">
                  <c:v>Be-lated</c:v>
                </c:pt>
              </c:strCache>
            </c:strRef>
          </c:cat>
          <c:val>
            <c:numRef>
              <c:f>Log_Data!$R$2:$R$4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firstSliceAng val="0"/>
      </c:pieChart>
    </c:plotArea>
    <c:legend>
      <c:legendPos val="r"/>
      <c:layout/>
      <c:txPr>
        <a:bodyPr/>
        <a:lstStyle/>
        <a:p>
          <a:pPr rtl="0">
            <a:defRPr/>
          </a:pPr>
          <a:endParaRPr lang="en-US"/>
        </a:p>
      </c:txPr>
    </c:legend>
    <c:plotVisOnly val="1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514350</xdr:colOff>
      <xdr:row>6</xdr:row>
      <xdr:rowOff>19050</xdr:rowOff>
    </xdr:from>
    <xdr:to>
      <xdr:col>15</xdr:col>
      <xdr:colOff>476250</xdr:colOff>
      <xdr:row>18</xdr:row>
      <xdr:rowOff>142876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600076</xdr:colOff>
      <xdr:row>6</xdr:row>
      <xdr:rowOff>28575</xdr:rowOff>
    </xdr:from>
    <xdr:to>
      <xdr:col>19</xdr:col>
      <xdr:colOff>495301</xdr:colOff>
      <xdr:row>18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nhan.ct@tctav.com" TargetMode="External"/><Relationship Id="rId1" Type="http://schemas.openxmlformats.org/officeDocument/2006/relationships/hyperlink" Target="mailto:nhan.ct@tctav.com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J26"/>
  <sheetViews>
    <sheetView tabSelected="1" workbookViewId="0">
      <selection activeCell="H5" sqref="H5"/>
    </sheetView>
  </sheetViews>
  <sheetFormatPr defaultRowHeight="15"/>
  <cols>
    <col min="1" max="1" width="4.5703125" style="1" customWidth="1"/>
    <col min="2" max="2" width="12.28515625" style="1" customWidth="1"/>
    <col min="3" max="10" width="12.7109375" style="1" customWidth="1"/>
    <col min="11" max="16384" width="9.140625" style="1"/>
  </cols>
  <sheetData>
    <row r="2" spans="1:10">
      <c r="B2" s="16" t="s">
        <v>12</v>
      </c>
      <c r="C2" s="46" t="s">
        <v>14</v>
      </c>
      <c r="D2" s="46"/>
      <c r="E2" s="46"/>
      <c r="F2" s="46"/>
      <c r="G2" s="46"/>
      <c r="H2" s="46"/>
      <c r="I2" s="46"/>
      <c r="J2" s="47"/>
    </row>
    <row r="3" spans="1:10">
      <c r="B3" s="6" t="s">
        <v>0</v>
      </c>
      <c r="C3" s="53" t="s">
        <v>13</v>
      </c>
      <c r="D3" s="53"/>
      <c r="E3" s="53"/>
      <c r="F3" s="53"/>
      <c r="G3" s="53"/>
      <c r="H3" s="53"/>
      <c r="I3" s="53"/>
      <c r="J3" s="54"/>
    </row>
    <row r="4" spans="1:10">
      <c r="B4" s="6" t="s">
        <v>1</v>
      </c>
      <c r="C4" s="55"/>
      <c r="D4" s="55"/>
      <c r="E4" s="55"/>
      <c r="F4" s="55"/>
      <c r="G4" s="55"/>
      <c r="H4" s="55"/>
      <c r="I4" s="55"/>
      <c r="J4" s="56"/>
    </row>
    <row r="5" spans="1:10">
      <c r="A5" s="33">
        <f ca="1">TODAY()</f>
        <v>42695</v>
      </c>
      <c r="B5" s="7" t="s">
        <v>2</v>
      </c>
      <c r="C5" s="30" t="s">
        <v>26</v>
      </c>
      <c r="D5" s="30"/>
      <c r="E5" s="30"/>
      <c r="F5" s="30"/>
      <c r="G5" s="30"/>
      <c r="H5" s="32" t="str">
        <f ca="1">YEAR(A5) &amp;MONTH(A5) &amp;DAY(A5)</f>
        <v>20161121</v>
      </c>
      <c r="I5" s="30"/>
      <c r="J5" s="31"/>
    </row>
    <row r="6" spans="1:10">
      <c r="B6" s="50" t="s">
        <v>3</v>
      </c>
      <c r="C6" s="51"/>
      <c r="D6" s="51"/>
      <c r="E6" s="51"/>
      <c r="F6" s="51"/>
      <c r="G6" s="51"/>
      <c r="H6" s="51"/>
      <c r="I6" s="51"/>
      <c r="J6" s="52"/>
    </row>
    <row r="7" spans="1:10">
      <c r="B7" s="5" t="s">
        <v>22</v>
      </c>
      <c r="C7" s="2" t="s">
        <v>25</v>
      </c>
      <c r="D7" s="2"/>
      <c r="E7" s="2"/>
      <c r="F7" s="2"/>
      <c r="G7" s="2"/>
      <c r="H7" s="2"/>
      <c r="I7" s="2"/>
      <c r="J7" s="8"/>
    </row>
    <row r="8" spans="1:10">
      <c r="B8" s="6" t="s">
        <v>4</v>
      </c>
      <c r="C8" s="3" t="s">
        <v>10</v>
      </c>
      <c r="D8" s="3"/>
      <c r="E8" s="3"/>
      <c r="F8" s="3"/>
      <c r="G8" s="3"/>
      <c r="H8" s="3"/>
      <c r="I8" s="3"/>
      <c r="J8" s="10"/>
    </row>
    <row r="9" spans="1:10">
      <c r="B9" s="6" t="s">
        <v>5</v>
      </c>
      <c r="C9" s="49">
        <f ca="1">NOW()</f>
        <v>42695.548452662035</v>
      </c>
      <c r="D9" s="49"/>
      <c r="E9" s="49"/>
      <c r="F9" s="49"/>
      <c r="G9" s="49"/>
      <c r="H9" s="49"/>
      <c r="I9" s="49"/>
      <c r="J9" s="10"/>
    </row>
    <row r="10" spans="1:10">
      <c r="B10" s="6"/>
      <c r="C10" s="20"/>
      <c r="D10" s="20"/>
      <c r="E10" s="20"/>
      <c r="F10" s="22"/>
      <c r="G10" s="20"/>
      <c r="H10" s="20"/>
      <c r="I10" s="20"/>
      <c r="J10" s="10"/>
    </row>
    <row r="11" spans="1:10">
      <c r="B11" s="34" t="s">
        <v>27</v>
      </c>
      <c r="C11" s="9"/>
      <c r="D11" s="9"/>
      <c r="E11" s="9"/>
      <c r="F11" s="9"/>
      <c r="G11" s="9"/>
      <c r="H11" s="9"/>
      <c r="I11" s="9"/>
      <c r="J11" s="10"/>
    </row>
    <row r="12" spans="1:10">
      <c r="B12" s="25" t="s">
        <v>28</v>
      </c>
      <c r="C12" s="57" t="s">
        <v>16</v>
      </c>
      <c r="D12" s="58"/>
      <c r="E12" s="26" t="s">
        <v>30</v>
      </c>
      <c r="F12" s="26" t="s">
        <v>34</v>
      </c>
      <c r="G12" s="23" t="s">
        <v>17</v>
      </c>
      <c r="H12" s="23" t="s">
        <v>18</v>
      </c>
      <c r="I12" s="23" t="s">
        <v>21</v>
      </c>
      <c r="J12" s="24" t="s">
        <v>19</v>
      </c>
    </row>
    <row r="13" spans="1:10">
      <c r="B13" s="12" t="s">
        <v>41</v>
      </c>
      <c r="C13" s="63" t="s">
        <v>29</v>
      </c>
      <c r="D13" s="63"/>
      <c r="E13" s="9">
        <v>8</v>
      </c>
      <c r="F13" s="9">
        <v>4</v>
      </c>
      <c r="G13" s="38">
        <v>42690</v>
      </c>
      <c r="H13" s="38">
        <v>42690</v>
      </c>
      <c r="I13" s="69">
        <v>90</v>
      </c>
      <c r="J13" s="10" t="s">
        <v>36</v>
      </c>
    </row>
    <row r="14" spans="1:10">
      <c r="B14" s="12"/>
      <c r="C14" s="13"/>
      <c r="D14" s="13"/>
      <c r="E14" s="13"/>
      <c r="F14" s="13"/>
      <c r="G14" s="13"/>
      <c r="H14" s="13"/>
      <c r="I14" s="13"/>
      <c r="J14" s="10"/>
    </row>
    <row r="15" spans="1:10">
      <c r="B15" s="12"/>
      <c r="C15" s="14"/>
      <c r="D15" s="21"/>
      <c r="E15" s="21"/>
      <c r="F15" s="21"/>
      <c r="G15" s="21"/>
      <c r="H15" s="21"/>
      <c r="I15" s="21"/>
      <c r="J15" s="10"/>
    </row>
    <row r="16" spans="1:10">
      <c r="B16" s="35" t="s">
        <v>24</v>
      </c>
      <c r="C16" s="13"/>
      <c r="D16" s="13"/>
      <c r="E16" s="13"/>
      <c r="F16" s="13"/>
      <c r="G16" s="13"/>
      <c r="H16" s="13"/>
      <c r="I16" s="13"/>
      <c r="J16" s="10"/>
    </row>
    <row r="17" spans="2:10">
      <c r="B17" s="25" t="s">
        <v>28</v>
      </c>
      <c r="C17" s="57" t="s">
        <v>16</v>
      </c>
      <c r="D17" s="58"/>
      <c r="E17" s="26" t="s">
        <v>23</v>
      </c>
      <c r="F17" s="26"/>
      <c r="G17" s="23" t="s">
        <v>17</v>
      </c>
      <c r="H17" s="23" t="s">
        <v>18</v>
      </c>
      <c r="I17" s="23" t="s">
        <v>21</v>
      </c>
      <c r="J17" s="24" t="s">
        <v>19</v>
      </c>
    </row>
    <row r="18" spans="2:10">
      <c r="B18" s="27" t="s">
        <v>31</v>
      </c>
      <c r="C18" s="64" t="s">
        <v>32</v>
      </c>
      <c r="D18" s="64"/>
      <c r="E18" s="67">
        <v>4</v>
      </c>
      <c r="F18" s="67">
        <v>6</v>
      </c>
      <c r="G18" s="39">
        <v>42691</v>
      </c>
      <c r="H18" s="39">
        <v>42691</v>
      </c>
      <c r="I18" s="68">
        <v>60</v>
      </c>
      <c r="J18" s="10" t="s">
        <v>33</v>
      </c>
    </row>
    <row r="19" spans="2:10">
      <c r="B19" s="27"/>
      <c r="C19" s="28"/>
      <c r="D19" s="28"/>
      <c r="E19" s="28"/>
      <c r="F19" s="28"/>
      <c r="G19" s="28"/>
      <c r="H19" s="28"/>
      <c r="I19" s="28"/>
      <c r="J19" s="36"/>
    </row>
    <row r="20" spans="2:10">
      <c r="B20" s="27"/>
      <c r="C20" s="28"/>
      <c r="D20" s="28"/>
      <c r="E20" s="28"/>
      <c r="F20" s="28"/>
      <c r="G20" s="28"/>
      <c r="H20" s="28"/>
      <c r="I20" s="28"/>
      <c r="J20" s="29"/>
    </row>
    <row r="21" spans="2:10">
      <c r="B21" s="59" t="s">
        <v>6</v>
      </c>
      <c r="C21" s="60"/>
      <c r="D21" s="60"/>
      <c r="E21" s="61" t="s">
        <v>15</v>
      </c>
      <c r="F21" s="61"/>
      <c r="G21" s="61"/>
      <c r="H21" s="61"/>
      <c r="I21" s="61"/>
      <c r="J21" s="62"/>
    </row>
    <row r="22" spans="2:10">
      <c r="B22" s="11" t="s">
        <v>7</v>
      </c>
      <c r="C22" s="9"/>
      <c r="D22" s="9"/>
      <c r="E22" s="9"/>
      <c r="F22" s="9"/>
      <c r="G22" s="9"/>
      <c r="H22" s="9"/>
      <c r="I22" s="9"/>
      <c r="J22" s="10"/>
    </row>
    <row r="23" spans="2:10">
      <c r="B23" s="11" t="s">
        <v>8</v>
      </c>
      <c r="C23" s="9"/>
      <c r="D23" s="9"/>
      <c r="E23" s="9"/>
      <c r="F23" s="9"/>
      <c r="G23" s="9"/>
      <c r="H23" s="9"/>
      <c r="I23" s="9"/>
      <c r="J23" s="10"/>
    </row>
    <row r="24" spans="2:10">
      <c r="B24" s="11"/>
      <c r="C24" s="9"/>
      <c r="D24" s="9"/>
      <c r="E24" s="9"/>
      <c r="F24" s="9"/>
      <c r="G24" s="9"/>
      <c r="H24" s="9"/>
      <c r="I24" s="9"/>
      <c r="J24" s="10"/>
    </row>
    <row r="25" spans="2:10">
      <c r="B25" s="4" t="s">
        <v>11</v>
      </c>
      <c r="C25" s="48">
        <f ca="1">NOW()</f>
        <v>42695.548452662035</v>
      </c>
      <c r="D25" s="48"/>
      <c r="E25" s="48"/>
      <c r="F25" s="48"/>
      <c r="G25" s="48"/>
      <c r="H25" s="48"/>
      <c r="I25" s="48"/>
      <c r="J25" s="15"/>
    </row>
    <row r="26" spans="2:10">
      <c r="B26" s="17" t="s">
        <v>9</v>
      </c>
    </row>
  </sheetData>
  <mergeCells count="12">
    <mergeCell ref="C2:J2"/>
    <mergeCell ref="C25:I25"/>
    <mergeCell ref="C9:I9"/>
    <mergeCell ref="B6:J6"/>
    <mergeCell ref="C3:J3"/>
    <mergeCell ref="C4:J4"/>
    <mergeCell ref="C12:D12"/>
    <mergeCell ref="C17:D17"/>
    <mergeCell ref="B21:D21"/>
    <mergeCell ref="E21:J21"/>
    <mergeCell ref="C13:D13"/>
    <mergeCell ref="C18:D18"/>
  </mergeCells>
  <dataValidations count="1">
    <dataValidation type="list" allowBlank="1" showInputMessage="1" showErrorMessage="1" sqref="J13:J14 J18">
      <formula1>"New,InProgress,Completed"</formula1>
    </dataValidation>
  </dataValidations>
  <hyperlinks>
    <hyperlink ref="C2" r:id="rId1" display="nhan.ct@tctav.com"/>
    <hyperlink ref="C3" r:id="rId2"/>
  </hyperlinks>
  <pageMargins left="0.7" right="0.7" top="0.75" bottom="0.75" header="0.3" footer="0.3"/>
  <pageSetup orientation="portrait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2:R17"/>
  <sheetViews>
    <sheetView workbookViewId="0">
      <selection activeCell="H21" sqref="H21"/>
    </sheetView>
  </sheetViews>
  <sheetFormatPr defaultRowHeight="15"/>
  <cols>
    <col min="4" max="11" width="12.7109375" customWidth="1"/>
    <col min="13" max="13" width="10.42578125" customWidth="1"/>
    <col min="17" max="17" width="13.28515625" customWidth="1"/>
  </cols>
  <sheetData>
    <row r="2" spans="2:18">
      <c r="B2" s="5" t="s">
        <v>22</v>
      </c>
      <c r="C2" s="2" t="str">
        <f>DailyReport_Template!C7</f>
        <v>Magento Training</v>
      </c>
      <c r="D2" s="2"/>
      <c r="E2" s="2"/>
      <c r="F2" s="2"/>
      <c r="G2" s="2"/>
      <c r="H2" s="2"/>
      <c r="I2" s="2"/>
      <c r="J2" s="2"/>
      <c r="K2" s="8"/>
      <c r="M2" s="43" t="s">
        <v>37</v>
      </c>
      <c r="N2" s="42">
        <f>COUNTIF(J8:J17,"New")</f>
        <v>0</v>
      </c>
      <c r="Q2" s="43" t="s">
        <v>39</v>
      </c>
      <c r="R2" s="42">
        <f>COUNTIF(K8:K17,"Go-ahead")</f>
        <v>0</v>
      </c>
    </row>
    <row r="3" spans="2:18">
      <c r="B3" s="6" t="s">
        <v>4</v>
      </c>
      <c r="C3" s="3" t="str">
        <f>DailyReport_Template!C8</f>
        <v>Chau Thanh Nhan</v>
      </c>
      <c r="D3" s="3"/>
      <c r="E3" s="3"/>
      <c r="F3" s="3"/>
      <c r="G3" s="3"/>
      <c r="H3" s="3"/>
      <c r="I3" s="3"/>
      <c r="J3" s="3"/>
      <c r="K3" s="10"/>
      <c r="M3" s="43" t="s">
        <v>33</v>
      </c>
      <c r="N3" s="42">
        <f>COUNTIF(J8:J17,"InProgress")</f>
        <v>0</v>
      </c>
      <c r="Q3" s="43" t="s">
        <v>42</v>
      </c>
      <c r="R3" s="42">
        <f>COUNTIF(K8:K17,"On-time")</f>
        <v>0</v>
      </c>
    </row>
    <row r="4" spans="2:18">
      <c r="B4" s="6"/>
      <c r="C4" s="49"/>
      <c r="D4" s="49"/>
      <c r="E4" s="49"/>
      <c r="F4" s="49"/>
      <c r="G4" s="49"/>
      <c r="H4" s="49"/>
      <c r="I4" s="49"/>
      <c r="J4" s="44"/>
      <c r="K4" s="10"/>
      <c r="M4" s="43" t="s">
        <v>36</v>
      </c>
      <c r="N4" s="42">
        <f>COUNTIF(J8:J17,"Completed")</f>
        <v>0</v>
      </c>
      <c r="Q4" s="43" t="s">
        <v>40</v>
      </c>
      <c r="R4" s="42">
        <f>COUNTIF(K8:K17,"Be-lated")</f>
        <v>0</v>
      </c>
    </row>
    <row r="5" spans="2:18">
      <c r="B5" s="6"/>
      <c r="C5" s="44"/>
      <c r="D5" s="44"/>
      <c r="E5" s="44"/>
      <c r="F5" s="44"/>
      <c r="G5" s="44"/>
      <c r="H5" s="44"/>
      <c r="I5" s="40"/>
      <c r="J5" s="65" t="str">
        <f>"Productivity: " &amp; COUNTIF(J8:J17,"Completed") &amp; "/" &amp; COUNTA(J8:J83)</f>
        <v>Productivity: 0/0</v>
      </c>
      <c r="K5" s="41"/>
      <c r="Q5" s="66"/>
      <c r="R5" s="66"/>
    </row>
    <row r="6" spans="2:18">
      <c r="B6" s="25" t="s">
        <v>20</v>
      </c>
      <c r="C6" s="57" t="s">
        <v>16</v>
      </c>
      <c r="D6" s="58"/>
      <c r="E6" s="45" t="s">
        <v>23</v>
      </c>
      <c r="F6" s="45" t="s">
        <v>35</v>
      </c>
      <c r="G6" s="23" t="s">
        <v>17</v>
      </c>
      <c r="H6" s="23" t="s">
        <v>18</v>
      </c>
      <c r="I6" s="23" t="s">
        <v>21</v>
      </c>
      <c r="J6" s="24" t="s">
        <v>19</v>
      </c>
      <c r="K6" s="24" t="s">
        <v>38</v>
      </c>
    </row>
    <row r="7" spans="2:18">
      <c r="B7" s="12" t="s">
        <v>43</v>
      </c>
      <c r="C7" s="70" t="s">
        <v>44</v>
      </c>
      <c r="D7" s="70"/>
      <c r="E7" s="9">
        <v>8</v>
      </c>
      <c r="F7" s="9">
        <v>8</v>
      </c>
      <c r="G7" s="38">
        <v>42690</v>
      </c>
      <c r="H7" s="38">
        <v>42690</v>
      </c>
      <c r="I7" s="9">
        <v>90</v>
      </c>
      <c r="J7" s="3" t="s">
        <v>36</v>
      </c>
      <c r="K7" s="10" t="str">
        <f>IF(AND(J7="Completed",E7-F7&gt;0),"Go-ahead",IF(AND(J7="Completed",E7-F7=0),"On-schedule",IF(E7-F7&lt;=0,"Be-lated","On-schedule")))</f>
        <v>On-schedule</v>
      </c>
    </row>
    <row r="8" spans="2:18">
      <c r="B8" s="12"/>
      <c r="C8" s="70"/>
      <c r="D8" s="70"/>
      <c r="E8" s="9"/>
      <c r="F8" s="9"/>
      <c r="G8" s="38"/>
      <c r="H8" s="38"/>
      <c r="I8" s="9"/>
      <c r="J8" s="3"/>
      <c r="K8" s="10"/>
    </row>
    <row r="9" spans="2:18">
      <c r="B9" s="12"/>
      <c r="C9" s="9"/>
      <c r="D9" s="9"/>
      <c r="E9" s="9"/>
      <c r="F9" s="9"/>
      <c r="G9" s="38"/>
      <c r="H9" s="38"/>
      <c r="I9" s="9"/>
      <c r="J9" s="3"/>
      <c r="K9" s="10"/>
    </row>
    <row r="10" spans="2:18">
      <c r="B10" s="12"/>
      <c r="C10" s="21"/>
      <c r="D10" s="21"/>
      <c r="E10" s="21"/>
      <c r="F10" s="21"/>
      <c r="G10" s="44"/>
      <c r="H10" s="44"/>
      <c r="I10" s="21"/>
      <c r="J10" s="21"/>
      <c r="K10" s="10"/>
    </row>
    <row r="11" spans="2:18">
      <c r="B11" s="27"/>
      <c r="C11" s="28"/>
      <c r="D11" s="28"/>
      <c r="E11" s="28"/>
      <c r="F11" s="28"/>
      <c r="G11" s="28"/>
      <c r="H11" s="28"/>
      <c r="I11" s="28"/>
      <c r="J11" s="28"/>
      <c r="K11" s="36"/>
    </row>
    <row r="12" spans="2:18">
      <c r="B12" s="27"/>
      <c r="C12" s="28"/>
      <c r="D12" s="28"/>
      <c r="E12" s="28"/>
      <c r="F12" s="28"/>
      <c r="G12" s="28"/>
      <c r="H12" s="28"/>
      <c r="I12" s="28"/>
      <c r="J12" s="28"/>
      <c r="K12" s="29"/>
    </row>
    <row r="13" spans="2:18">
      <c r="B13" s="18"/>
      <c r="C13" s="19"/>
      <c r="D13" s="19"/>
      <c r="E13" s="19"/>
      <c r="F13" s="19"/>
      <c r="G13" s="19"/>
      <c r="H13" s="19"/>
      <c r="I13" s="19"/>
      <c r="J13" s="19"/>
      <c r="K13" s="10"/>
    </row>
    <row r="14" spans="2:18">
      <c r="B14" s="11"/>
      <c r="C14" s="9"/>
      <c r="D14" s="9"/>
      <c r="E14" s="9"/>
      <c r="F14" s="9"/>
      <c r="G14" s="9"/>
      <c r="H14" s="9"/>
      <c r="I14" s="9"/>
      <c r="J14" s="9"/>
      <c r="K14" s="10"/>
    </row>
    <row r="15" spans="2:18">
      <c r="B15" s="11"/>
      <c r="C15" s="9"/>
      <c r="D15" s="9"/>
      <c r="E15" s="9"/>
      <c r="F15" s="9"/>
      <c r="G15" s="9"/>
      <c r="H15" s="9"/>
      <c r="I15" s="9"/>
      <c r="J15" s="9"/>
      <c r="K15" s="10"/>
    </row>
    <row r="16" spans="2:18">
      <c r="B16" s="11"/>
      <c r="C16" s="9"/>
      <c r="D16" s="9"/>
      <c r="E16" s="9"/>
      <c r="F16" s="9"/>
      <c r="G16" s="9"/>
      <c r="H16" s="9"/>
      <c r="I16" s="9"/>
      <c r="J16" s="9"/>
      <c r="K16" s="10"/>
    </row>
    <row r="17" spans="2:11">
      <c r="B17" s="4"/>
      <c r="C17" s="37"/>
      <c r="D17" s="37"/>
      <c r="E17" s="37"/>
      <c r="F17" s="37"/>
      <c r="G17" s="37"/>
      <c r="H17" s="37"/>
      <c r="I17" s="37"/>
      <c r="J17" s="37"/>
      <c r="K17" s="15"/>
    </row>
  </sheetData>
  <mergeCells count="2">
    <mergeCell ref="C4:I4"/>
    <mergeCell ref="C6:D6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DailyReport_Template</vt:lpstr>
      <vt:lpstr>Log_Data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Nhan Chau Thanh</dc:creator>
  <cp:lastModifiedBy>Nhan Chau Thanh</cp:lastModifiedBy>
  <dcterms:created xsi:type="dcterms:W3CDTF">2016-10-11T10:18:22Z</dcterms:created>
  <dcterms:modified xsi:type="dcterms:W3CDTF">2016-11-21T06:10:38Z</dcterms:modified>
</cp:coreProperties>
</file>