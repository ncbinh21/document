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guyen_Cong_Binh\Magento\GitLap\magento-trainning-documentation\02.Design\02.Detail Design\No 3-44 会員系サ\"/>
    </mc:Choice>
  </mc:AlternateContent>
  <bookViews>
    <workbookView xWindow="120" yWindow="105" windowWidth="11910" windowHeight="5460"/>
  </bookViews>
  <sheets>
    <sheet name="Template" sheetId="1" r:id="rId1"/>
    <sheet name="Block_RegisterCondition" sheetId="27" r:id="rId2"/>
    <sheet name="etc_adminhtml_system" sheetId="28" r:id="rId3"/>
    <sheet name="etc_module" sheetId="29" r:id="rId4"/>
    <sheet name="Helper_Data" sheetId="30" r:id="rId5"/>
    <sheet name="view_frontend_layout" sheetId="31" r:id="rId6"/>
    <sheet name="registration" sheetId="32" r:id="rId7"/>
    <sheet name="register" sheetId="33" r:id="rId8"/>
  </sheets>
  <functionGroups builtInGroupCount="18"/>
  <externalReferences>
    <externalReference r:id="rId9"/>
    <externalReference r:id="rId10"/>
    <externalReference r:id="rId11"/>
    <externalReference r:id="rId12"/>
  </externalReferences>
  <definedNames>
    <definedName name="_xlcn.WorksheetConnection_Template_ScreenUnitTest_EN_0809.xlsxTable11" hidden="1">[1]!Table1[#Data]</definedName>
    <definedName name="_xlcn.WorksheetConnection_Template_ScreenUnitTest_EN_0809.xlsxTable21" hidden="1">[1]!Table2[#Data]</definedName>
    <definedName name="_xlcn.WorksheetConnection_Template_ScreenUnitTest_EN_0809.xlsxTable81" hidden="1">[1]!Table8[#Data]</definedName>
    <definedName name="Category">[1]!Table1[Category]</definedName>
    <definedName name="ewew" localSheetId="4">INDEX([2]!Table7[#Data],MATCH(#REF!,[2]!Table6[#Data],0),MATCH(#REF!,[2]!Table7[#Headers],0))</definedName>
    <definedName name="ewew" localSheetId="7">INDEX([2]!Table7[#Data],MATCH(#REF!,[2]!Table6[#Data],0),MATCH(#REF!,[2]!Table7[#Headers],0))</definedName>
    <definedName name="ewew" localSheetId="6">INDEX([2]!Table7[#Data],MATCH(#REF!,[2]!Table6[#Data],0),MATCH(#REF!,[2]!Table7[#Headers],0))</definedName>
    <definedName name="ewew" localSheetId="5">INDEX([2]!Table7[#Data],MATCH(#REF!,[2]!Table6[#Data],0),MATCH(#REF!,[2]!Table7[#Headers],0))</definedName>
    <definedName name="ewew">INDEX([2]!Table7[#Data],MATCH(#REF!,[2]!Table6[#Data],0),MATCH(#REF!,[2]!Table7[#Headers],0))</definedName>
    <definedName name="Executor">[1]!Table5[Executor]</definedName>
    <definedName name="Helper_Data" localSheetId="7">INDEX([2]!Table7[#Data],MATCH(#REF!,[2]!Table6[#Data],0),MATCH(#REF!,[2]!Table7[#Headers],0))</definedName>
    <definedName name="Helper_Data" localSheetId="6">INDEX([2]!Table7[#Data],MATCH(#REF!,[2]!Table6[#Data],0),MATCH(#REF!,[2]!Table7[#Headers],0))</definedName>
    <definedName name="Helper_Data" localSheetId="5">INDEX([2]!Table7[#Data],MATCH(#REF!,[2]!Table6[#Data],0),MATCH(#REF!,[2]!Table7[#Headers],0))</definedName>
    <definedName name="Helper_Data">INDEX([2]!Table7[#Data],MATCH(#REF!,[2]!Table6[#Data],0),MATCH(#REF!,[2]!Table7[#Headers],0))</definedName>
    <definedName name="Number">[1]!Table7[#Headers]</definedName>
    <definedName name="NumberList" localSheetId="1">INDEX([2]!Table7[#Data],MATCH(#REF!,[2]!Table6[#Data],0),MATCH(#REF!,[2]!Table7[#Headers],0))</definedName>
    <definedName name="NumberList" localSheetId="2">INDEX([2]!Table7[#Data],MATCH(#REF!,[2]!Table6[#Data],0),MATCH(#REF!,[2]!Table7[#Headers],0))</definedName>
    <definedName name="NumberList" localSheetId="3">INDEX([2]!Table7[#Data],MATCH(#REF!,[2]!Table6[#Data],0),MATCH(#REF!,[2]!Table7[#Headers],0))</definedName>
    <definedName name="NumberList" localSheetId="4">INDEX([2]!Table7[#Data],MATCH(#REF!,[2]!Table6[#Data],0),MATCH(#REF!,[2]!Table7[#Headers],0))</definedName>
    <definedName name="NumberList" localSheetId="7">INDEX([2]!Table7[#Data],MATCH(#REF!,[2]!Table6[#Data],0),MATCH(#REF!,[2]!Table7[#Headers],0))</definedName>
    <definedName name="NumberList" localSheetId="6">INDEX([2]!Table7[#Data],MATCH(#REF!,[2]!Table6[#Data],0),MATCH(#REF!,[2]!Table7[#Headers],0))</definedName>
    <definedName name="NumberList" localSheetId="5">INDEX([2]!Table7[#Data],MATCH(#REF!,[2]!Table6[#Data],0),MATCH(#REF!,[2]!Table7[#Headers],0))</definedName>
    <definedName name="NumberList">INDEX([2]!Table7[#Data],MATCH(#REF!,[2]!Table6[#Data],0),MATCH(#REF!,[2]!Table7[#Headers],0))</definedName>
    <definedName name="Pattern">[1]!Table6[Pattern]</definedName>
    <definedName name="Priority">[1]!Table2[Priority]</definedName>
    <definedName name="qewewqeq" localSheetId="7">INDEX([2]!Table7[#Data],MATCH(#REF!,[2]!Table6[#Data],0),MATCH(#REF!,[2]!Table7[#Headers],0))</definedName>
    <definedName name="qewewqeq" localSheetId="6">INDEX([2]!Table7[#Data],MATCH(#REF!,[2]!Table6[#Data],0),MATCH(#REF!,[2]!Table7[#Headers],0))</definedName>
    <definedName name="qewewqeq">INDEX([2]!Table7[#Data],MATCH(#REF!,[2]!Table6[#Data],0),MATCH(#REF!,[2]!Table7[#Headers],0))</definedName>
    <definedName name="rê">INDEX([2]!Table7[#Data],MATCH(#REF!,[2]!Table6[#Data],0),MATCH(#REF!,[2]!Table7[#Headers],0))</definedName>
    <definedName name="Result">[1]!Table4[Result]</definedName>
    <definedName name="TypeCase">[1]!Table3[Type Case]</definedName>
    <definedName name="システム名">[3]設定!$E$7</definedName>
    <definedName name="ブラウザ">[3]設定!$G$3:$G$25</definedName>
    <definedName name="プロジェクト名">[3]設定!$E$6</definedName>
    <definedName name="動作確認環境">[3]設定!$D$13:$D$16</definedName>
    <definedName name="結果">[3]設定!$E$13:$E$21</definedName>
    <definedName name="表紙タイトル名称">[3]設定!$E$8</definedName>
    <definedName name="顧客名">[3]設定!$E$3</definedName>
  </definedNames>
  <calcPr calcId="152511"/>
</workbook>
</file>

<file path=xl/calcChain.xml><?xml version="1.0" encoding="utf-8"?>
<calcChain xmlns="http://schemas.openxmlformats.org/spreadsheetml/2006/main">
  <c r="A5" i="33" l="1"/>
  <c r="D3" i="33"/>
  <c r="D2" i="33"/>
  <c r="A5" i="32" l="1"/>
  <c r="D3" i="32"/>
  <c r="D2" i="32"/>
  <c r="A5" i="31"/>
  <c r="D3" i="31"/>
  <c r="D2" i="31"/>
  <c r="D6" i="30"/>
  <c r="A5" i="30"/>
  <c r="D3" i="30"/>
  <c r="D2" i="30"/>
  <c r="A5" i="29"/>
  <c r="D3" i="29"/>
  <c r="D2" i="29"/>
  <c r="A5" i="28"/>
  <c r="D3" i="28"/>
  <c r="D2" i="28"/>
  <c r="A5" i="27"/>
  <c r="J4" i="27"/>
  <c r="D6" i="27" s="1"/>
  <c r="D3" i="27"/>
  <c r="D2" i="27"/>
  <c r="B16" i="1" l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15" i="1"/>
  <c r="A5" i="1" l="1"/>
</calcChain>
</file>

<file path=xl/sharedStrings.xml><?xml version="1.0" encoding="utf-8"?>
<sst xmlns="http://schemas.openxmlformats.org/spreadsheetml/2006/main" count="127" uniqueCount="60">
  <si>
    <t>Name:</t>
  </si>
  <si>
    <t>--End--</t>
  </si>
  <si>
    <t>Project:</t>
  </si>
  <si>
    <t>Test Script</t>
  </si>
  <si>
    <t>Physical Folder</t>
  </si>
  <si>
    <t>Module Name</t>
  </si>
  <si>
    <t>Source Code Path</t>
  </si>
  <si>
    <t>templates</t>
  </si>
  <si>
    <t>D:\tmp</t>
  </si>
  <si>
    <t>Notepad Project</t>
  </si>
  <si>
    <t>Inherit:</t>
  </si>
  <si>
    <t>Class:</t>
  </si>
  <si>
    <t>File:</t>
  </si>
  <si>
    <t>Path:</t>
  </si>
  <si>
    <t>Magento</t>
  </si>
  <si>
    <t>view</t>
  </si>
  <si>
    <t>etc</t>
  </si>
  <si>
    <t>Block</t>
  </si>
  <si>
    <t>adminhtml</t>
  </si>
  <si>
    <t>Level</t>
  </si>
  <si>
    <t>layout</t>
  </si>
  <si>
    <t>Namespace Module</t>
  </si>
  <si>
    <t>TTV</t>
  </si>
  <si>
    <t>namespace</t>
  </si>
  <si>
    <t>Use</t>
  </si>
  <si>
    <t>RegisterCondition.php</t>
  </si>
  <si>
    <t>RegisterCondition</t>
  </si>
  <si>
    <t>Register</t>
  </si>
  <si>
    <t>Magento\Customer\Block\Form\Register</t>
  </si>
  <si>
    <t>public function __construct(\Magento\Framework\View\Element\Template\Context $context, \Magento\Directory\Helper\Data $directoryHelper, \Magento\Framework\Json\EncoderInterface $jsonEncoder, \Magento\Framework\App\Cache\Type\Config $configCacheType, \Magento\Directory\Model\ResourceModel\Region\CollectionFactory $regionCollectionFactory, \Magento\Directory\Model\ResourceModel\Country\CollectionFactory $countryCollectionFactory, \Magento\Framework\Module\Manager $moduleManager, \Magento\Customer\Model\Session $customerSession, \Magento\Customer\Model\Url $customerUrl, array $data = [], \TTV\TermCondition\Helper\Data $helper)</t>
  </si>
  <si>
    <t xml:space="preserve">
       </t>
  </si>
  <si>
    <t>public function enable()</t>
  </si>
  <si>
    <t>system.xml</t>
  </si>
  <si>
    <t>etc\adminhtml</t>
  </si>
  <si>
    <t>module.xml</t>
  </si>
  <si>
    <t>Data.php</t>
  </si>
  <si>
    <t>Helper</t>
  </si>
  <si>
    <t>Data</t>
  </si>
  <si>
    <t>customer_account_create.xml</t>
  </si>
  <si>
    <t>view\frontend\layout</t>
  </si>
  <si>
    <t>registration.php</t>
  </si>
  <si>
    <t>frontend</t>
  </si>
  <si>
    <t>register.phtml</t>
  </si>
  <si>
    <t>TermCondition</t>
  </si>
  <si>
    <t>E:\Nguyen_Cong_Binh\Test</t>
  </si>
  <si>
    <t>Nguyen Cong Binh</t>
  </si>
  <si>
    <t>\Magento\Framework\App\Helper\AbstractHelper</t>
  </si>
  <si>
    <t>AbstractHelper</t>
  </si>
  <si>
    <t>public function __construct(\Magento\Framework\App\Helper\Context $context, \Magento\Framework\App\Config\ScopeConfigInterface $scopeConfig)</t>
  </si>
  <si>
    <t>public function getEnable()</t>
  </si>
  <si>
    <t xml:space="preserve">get value Enable Term and Condition from Helper and display Context on when customer register.
</t>
  </si>
  <si>
    <t>public function getTextAlign()</t>
  </si>
  <si>
    <t>view\frontend\templates</t>
  </si>
  <si>
    <t>???</t>
  </si>
  <si>
    <t>create module must have this file</t>
  </si>
  <si>
    <t>Add menu item on register Screen
- Add enable item 
- Add context</t>
  </si>
  <si>
    <t>Get value from block RegisterCondition and show for customer</t>
  </si>
  <si>
    <t>get value Context of Term and Condition from Stores.  Block RegisterCondition will get value from this.</t>
  </si>
  <si>
    <t>get value Enable Term and Condition from Stores. Block RegisterCondition will get value from this.</t>
  </si>
  <si>
    <t>inherit from form create new customer of magento. It get block RegisterCondition and register.phtml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</si>
</sst>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(* #,##0_);_(* \(#,##0\);_(* &quot;-&quot;_);_(@_)"/>
    <numFmt numFmtId="44" formatCode="_(&quot;$&quot;* #,##0.00_);_(&quot;$&quot;* \(#,##0.00\);_(&quot;$&quot;* &quot;-&quot;??_);_(@_)"/>
    <numFmt numFmtId="164" formatCode="[$-409]d\-mmm\-yy;@"/>
    <numFmt numFmtId="165" formatCode="#,##0;\-#,##0;&quot;-&quot;"/>
    <numFmt numFmtId="166" formatCode="&quot;$&quot;#,##0.0_);\(&quot;$&quot;#,##0.0\)"/>
    <numFmt numFmtId="167" formatCode="_ &quot;SFr.&quot;* #,##0.00_ ;_ &quot;SFr.&quot;* \-#,##0.00_ ;_ &quot;SFr.&quot;* &quot;-&quot;??_ ;_ @_ "/>
    <numFmt numFmtId="168" formatCode="&quot;¥&quot;#,##0_);[Red]\(&quot;¥&quot;#,##0\)"/>
  </numFmts>
  <fonts count="7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1"/>
      <name val="ＭＳ Ｐゴシック"/>
      <charset val="128"/>
    </font>
    <font>
      <u/>
      <sz val="11"/>
      <color theme="10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1"/>
      <color theme="0"/>
      <name val="Calibri"/>
      <family val="3"/>
      <charset val="128"/>
      <scheme val="minor"/>
    </font>
    <font>
      <sz val="10"/>
      <color indexed="8"/>
      <name val="Arial"/>
      <family val="2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charset val="128"/>
      <scheme val="minor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sz val="9"/>
      <name val="ＭＳ Ｐゴシック"/>
      <family val="3"/>
      <charset val="128"/>
    </font>
    <font>
      <sz val="11"/>
      <color theme="1"/>
      <name val="Calibri"/>
      <family val="2"/>
      <charset val="128"/>
      <scheme val="minor"/>
    </font>
    <font>
      <sz val="10"/>
      <name val="Arial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9"/>
      <name val="Times New Roman"/>
      <family val="1"/>
    </font>
    <font>
      <sz val="9"/>
      <color theme="0"/>
      <name val="Meiryo UI"/>
      <family val="2"/>
      <charset val="128"/>
    </font>
    <font>
      <sz val="10"/>
      <name val="メイリオ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8"/>
      <color theme="3"/>
      <name val="Cambria"/>
      <family val="3"/>
      <charset val="128"/>
      <scheme val="major"/>
    </font>
    <font>
      <b/>
      <sz val="11"/>
      <color indexed="9"/>
      <name val="ＭＳ Ｐゴシック"/>
      <family val="3"/>
      <charset val="128"/>
    </font>
    <font>
      <b/>
      <sz val="11"/>
      <color theme="0"/>
      <name val="Calibri"/>
      <family val="3"/>
      <charset val="128"/>
      <scheme val="minor"/>
    </font>
    <font>
      <sz val="11"/>
      <color indexed="60"/>
      <name val="ＭＳ Ｐゴシック"/>
      <family val="3"/>
      <charset val="128"/>
    </font>
    <font>
      <sz val="11"/>
      <color rgb="FF9C6500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theme="10"/>
      <name val="Calibri"/>
      <family val="3"/>
      <charset val="128"/>
      <scheme val="minor"/>
    </font>
    <font>
      <u/>
      <sz val="9"/>
      <color theme="10"/>
      <name val="Meiryo UI"/>
      <family val="2"/>
      <charset val="128"/>
    </font>
    <font>
      <sz val="12"/>
      <name val="Osaka"/>
      <family val="3"/>
      <charset val="128"/>
    </font>
    <font>
      <sz val="11"/>
      <color indexed="52"/>
      <name val="ＭＳ Ｐゴシック"/>
      <family val="3"/>
      <charset val="128"/>
    </font>
    <font>
      <sz val="11"/>
      <color rgb="FFFA7D00"/>
      <name val="Calibri"/>
      <family val="3"/>
      <charset val="128"/>
      <scheme val="minor"/>
    </font>
    <font>
      <sz val="11"/>
      <color indexed="62"/>
      <name val="ＭＳ Ｐゴシック"/>
      <family val="3"/>
      <charset val="128"/>
    </font>
    <font>
      <sz val="11"/>
      <color rgb="FF3F3F76"/>
      <name val="Calibri"/>
      <family val="3"/>
      <charset val="128"/>
      <scheme val="minor"/>
    </font>
    <font>
      <b/>
      <sz val="11"/>
      <color indexed="63"/>
      <name val="ＭＳ Ｐゴシック"/>
      <family val="3"/>
      <charset val="128"/>
    </font>
    <font>
      <b/>
      <sz val="11"/>
      <color rgb="FF3F3F3F"/>
      <name val="Calibri"/>
      <family val="3"/>
      <charset val="128"/>
      <scheme val="minor"/>
    </font>
    <font>
      <sz val="11"/>
      <color indexed="20"/>
      <name val="ＭＳ Ｐゴシック"/>
      <family val="3"/>
      <charset val="128"/>
    </font>
    <font>
      <sz val="11"/>
      <color rgb="FF9C0006"/>
      <name val="Calibri"/>
      <family val="3"/>
      <charset val="128"/>
      <scheme val="minor"/>
    </font>
    <font>
      <sz val="14"/>
      <name val="ＭＳ 明朝"/>
      <family val="1"/>
      <charset val="128"/>
    </font>
    <font>
      <sz val="10"/>
      <name val="Geneva"/>
      <family val="2"/>
    </font>
    <font>
      <sz val="9"/>
      <color theme="1"/>
      <name val="Meiryo UI"/>
      <family val="2"/>
      <charset val="128"/>
    </font>
    <font>
      <sz val="10"/>
      <name val="ＭＳ Ｐゴシック"/>
      <family val="3"/>
      <charset val="128"/>
    </font>
    <font>
      <sz val="9"/>
      <color rgb="FF000000"/>
      <name val="メイリオ"/>
      <family val="3"/>
      <charset val="128"/>
    </font>
    <font>
      <sz val="11"/>
      <color theme="1"/>
      <name val="ＭＳ Ｐゴシック"/>
      <family val="3"/>
      <charset val="128"/>
    </font>
    <font>
      <sz val="11"/>
      <color rgb="FFFF0000"/>
      <name val="Calibri"/>
      <family val="3"/>
      <charset val="128"/>
      <scheme val="minor"/>
    </font>
    <font>
      <sz val="11"/>
      <color indexed="17"/>
      <name val="ＭＳ Ｐゴシック"/>
      <family val="3"/>
      <charset val="128"/>
    </font>
    <font>
      <sz val="11"/>
      <color rgb="FF006100"/>
      <name val="Calibri"/>
      <family val="3"/>
      <charset val="128"/>
      <scheme val="minor"/>
    </font>
    <font>
      <u/>
      <sz val="8.25"/>
      <color indexed="36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ＭＳ Ｐゴシック"/>
      <family val="3"/>
      <charset val="128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ＭＳ Ｐゴシック"/>
      <family val="3"/>
      <charset val="128"/>
    </font>
    <font>
      <b/>
      <sz val="11"/>
      <color theme="3"/>
      <name val="Calibri"/>
      <family val="3"/>
      <charset val="128"/>
      <scheme val="minor"/>
    </font>
    <font>
      <sz val="9"/>
      <name val="ＭＳ Ｐ明朝"/>
      <family val="1"/>
      <charset val="128"/>
    </font>
    <font>
      <b/>
      <sz val="11"/>
      <color indexed="52"/>
      <name val="ＭＳ Ｐゴシック"/>
      <family val="3"/>
      <charset val="128"/>
    </font>
    <font>
      <b/>
      <sz val="11"/>
      <color rgb="FFFA7D00"/>
      <name val="Calibri"/>
      <family val="3"/>
      <charset val="128"/>
      <scheme val="minor"/>
    </font>
    <font>
      <i/>
      <sz val="11"/>
      <color indexed="23"/>
      <name val="ＭＳ Ｐゴシック"/>
      <family val="3"/>
      <charset val="128"/>
    </font>
    <font>
      <i/>
      <sz val="11"/>
      <color rgb="FF7F7F7F"/>
      <name val="Calibri"/>
      <family val="3"/>
      <charset val="128"/>
      <scheme val="minor"/>
    </font>
    <font>
      <sz val="11"/>
      <color indexed="10"/>
      <name val="ＭＳ Ｐゴシック"/>
      <family val="3"/>
      <charset val="128"/>
    </font>
    <font>
      <b/>
      <sz val="10"/>
      <name val="ＭＳ 明朝"/>
      <family val="1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7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2499465926084170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88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/>
    <xf numFmtId="0" fontId="12" fillId="0" borderId="0" applyNumberFormat="0" applyFill="0" applyBorder="0" applyAlignment="0" applyProtection="0">
      <alignment vertical="center"/>
    </xf>
    <xf numFmtId="0" fontId="13" fillId="38" borderId="20" applyNumberFormat="0"/>
    <xf numFmtId="0" fontId="13" fillId="39" borderId="20" applyNumberFormat="0"/>
    <xf numFmtId="0" fontId="13" fillId="40" borderId="20" applyNumberFormat="0"/>
    <xf numFmtId="0" fontId="13" fillId="41" borderId="20" applyNumberFormat="0"/>
    <xf numFmtId="0" fontId="13" fillId="42" borderId="20" applyNumberFormat="0"/>
    <xf numFmtId="0" fontId="13" fillId="43" borderId="20" applyNumberFormat="0"/>
    <xf numFmtId="0" fontId="13" fillId="44" borderId="20" applyNumberFormat="0"/>
    <xf numFmtId="0" fontId="13" fillId="45" borderId="20" applyNumberFormat="0"/>
    <xf numFmtId="49" fontId="13" fillId="46" borderId="20"/>
    <xf numFmtId="49" fontId="13" fillId="47" borderId="20"/>
    <xf numFmtId="0" fontId="14" fillId="4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164" fontId="14" fillId="4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164" fontId="14" fillId="49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4" fillId="5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164" fontId="14" fillId="50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4" fillId="51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164" fontId="14" fillId="51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4" fillId="5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164" fontId="14" fillId="52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4" fillId="5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164" fontId="14" fillId="5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4" fillId="5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164" fontId="14" fillId="5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4" fillId="5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164" fontId="14" fillId="5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4" fillId="5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164" fontId="14" fillId="56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4" fillId="51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164" fontId="14" fillId="51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4" fillId="54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164" fontId="14" fillId="54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4" fillId="5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164" fontId="14" fillId="5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6" fillId="5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164" fontId="16" fillId="5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6" fillId="55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164" fontId="16" fillId="55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6" fillId="56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164" fontId="16" fillId="56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6" fillId="5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164" fontId="16" fillId="5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6" fillId="60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64" fontId="16" fillId="60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6" fillId="61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164" fontId="16" fillId="61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165" fontId="18" fillId="0" borderId="0" applyFill="0" applyBorder="0" applyAlignment="0"/>
    <xf numFmtId="0" fontId="19" fillId="0" borderId="0">
      <alignment horizontal="left"/>
    </xf>
    <xf numFmtId="38" fontId="20" fillId="62" borderId="0" applyNumberFormat="0" applyBorder="0" applyAlignment="0" applyProtection="0"/>
    <xf numFmtId="0" fontId="21" fillId="0" borderId="21" applyNumberFormat="0" applyAlignment="0" applyProtection="0">
      <alignment horizontal="left" vertical="center"/>
    </xf>
    <xf numFmtId="0" fontId="21" fillId="0" borderId="22">
      <alignment horizontal="left"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Border="0"/>
    <xf numFmtId="10" fontId="20" fillId="63" borderId="19" applyNumberFormat="0" applyBorder="0" applyAlignment="0" applyProtection="0"/>
    <xf numFmtId="0" fontId="23" fillId="0" borderId="0"/>
    <xf numFmtId="166" fontId="24" fillId="0" borderId="0"/>
    <xf numFmtId="0" fontId="25" fillId="0" borderId="0"/>
    <xf numFmtId="0" fontId="26" fillId="0" borderId="0">
      <alignment vertical="center"/>
    </xf>
    <xf numFmtId="0" fontId="26" fillId="0" borderId="0">
      <alignment vertical="center"/>
    </xf>
    <xf numFmtId="0" fontId="9" fillId="0" borderId="0"/>
    <xf numFmtId="0" fontId="9" fillId="0" borderId="0"/>
    <xf numFmtId="0" fontId="10" fillId="0" borderId="0">
      <alignment vertical="center"/>
    </xf>
    <xf numFmtId="164" fontId="10" fillId="0" borderId="0">
      <alignment vertical="center"/>
    </xf>
    <xf numFmtId="164" fontId="10" fillId="0" borderId="0">
      <alignment vertical="center"/>
    </xf>
    <xf numFmtId="164" fontId="10" fillId="0" borderId="0">
      <alignment vertical="center"/>
    </xf>
    <xf numFmtId="164" fontId="10" fillId="0" borderId="0">
      <alignment vertical="center"/>
    </xf>
    <xf numFmtId="10" fontId="27" fillId="0" borderId="0" applyFont="0" applyFill="0" applyBorder="0" applyAlignment="0" applyProtection="0"/>
    <xf numFmtId="4" fontId="19" fillId="0" borderId="0">
      <alignment horizontal="right"/>
    </xf>
    <xf numFmtId="4" fontId="28" fillId="0" borderId="0">
      <alignment horizontal="right"/>
    </xf>
    <xf numFmtId="0" fontId="29" fillId="0" borderId="0">
      <alignment horizontal="left"/>
    </xf>
    <xf numFmtId="0" fontId="30" fillId="0" borderId="0"/>
    <xf numFmtId="0" fontId="31" fillId="0" borderId="0">
      <alignment horizontal="center"/>
    </xf>
    <xf numFmtId="49" fontId="13" fillId="43" borderId="20"/>
    <xf numFmtId="0" fontId="16" fillId="6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164" fontId="16" fillId="6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6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164" fontId="16" fillId="6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16" fillId="6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164" fontId="16" fillId="66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6" fillId="59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164" fontId="16" fillId="59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6" fillId="60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164" fontId="16" fillId="60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6" fillId="67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164" fontId="16" fillId="67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33" fillId="37" borderId="23" applyNumberFormat="0" applyFont="0" applyBorder="0" applyAlignment="0" applyProtection="0">
      <alignment horizontal="center" vertical="center"/>
    </xf>
    <xf numFmtId="0" fontId="33" fillId="37" borderId="23" applyNumberFormat="0" applyFont="0" applyBorder="0" applyAlignment="0" applyProtection="0">
      <alignment horizontal="center" vertical="center"/>
    </xf>
    <xf numFmtId="0" fontId="33" fillId="68" borderId="23" applyNumberFormat="0" applyFont="0" applyBorder="0" applyAlignment="0" applyProtection="0">
      <alignment horizontal="center" vertical="center"/>
    </xf>
    <xf numFmtId="0" fontId="33" fillId="68" borderId="23" applyNumberFormat="0" applyFont="0" applyBorder="0" applyAlignment="0" applyProtection="0">
      <alignment horizontal="center" vertical="center"/>
    </xf>
    <xf numFmtId="0" fontId="34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164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69" borderId="24" applyNumberFormat="0" applyAlignment="0" applyProtection="0">
      <alignment vertical="center"/>
    </xf>
    <xf numFmtId="0" fontId="37" fillId="11" borderId="15" applyNumberFormat="0" applyAlignment="0" applyProtection="0">
      <alignment vertical="center"/>
    </xf>
    <xf numFmtId="164" fontId="36" fillId="69" borderId="24" applyNumberFormat="0" applyAlignment="0" applyProtection="0">
      <alignment vertical="center"/>
    </xf>
    <xf numFmtId="0" fontId="37" fillId="11" borderId="15" applyNumberFormat="0" applyAlignment="0" applyProtection="0">
      <alignment vertical="center"/>
    </xf>
    <xf numFmtId="0" fontId="38" fillId="70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164" fontId="38" fillId="70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9" fontId="24" fillId="0" borderId="0" applyFon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164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9" fontId="43" fillId="63" borderId="25" applyFont="0" applyFill="0" applyBorder="0" applyAlignment="0" applyProtection="0">
      <alignment horizontal="center"/>
    </xf>
    <xf numFmtId="9" fontId="43" fillId="63" borderId="25" applyFont="0" applyFill="0" applyBorder="0" applyAlignment="0" applyProtection="0">
      <alignment horizont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5" fillId="12" borderId="1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164" fontId="10" fillId="71" borderId="26" applyNumberFormat="0" applyFont="0" applyAlignment="0" applyProtection="0">
      <alignment vertical="center"/>
    </xf>
    <xf numFmtId="164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5" fillId="12" borderId="1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164" fontId="10" fillId="71" borderId="26" applyNumberFormat="0" applyFont="0" applyAlignment="0" applyProtection="0">
      <alignment vertical="center"/>
    </xf>
    <xf numFmtId="164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10" fillId="71" borderId="26" applyNumberFormat="0" applyFont="0" applyAlignment="0" applyProtection="0">
      <alignment vertical="center"/>
    </xf>
    <xf numFmtId="0" fontId="44" fillId="0" borderId="27" applyNumberFormat="0" applyFill="0" applyAlignment="0" applyProtection="0">
      <alignment vertical="center"/>
    </xf>
    <xf numFmtId="0" fontId="45" fillId="0" borderId="14" applyNumberFormat="0" applyFill="0" applyAlignment="0" applyProtection="0">
      <alignment vertical="center"/>
    </xf>
    <xf numFmtId="164" fontId="44" fillId="0" borderId="27" applyNumberFormat="0" applyFill="0" applyAlignment="0" applyProtection="0">
      <alignment vertical="center"/>
    </xf>
    <xf numFmtId="0" fontId="45" fillId="0" borderId="14" applyNumberFormat="0" applyFill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7" fillId="9" borderId="12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164" fontId="46" fillId="53" borderId="28" applyNumberFormat="0" applyAlignment="0" applyProtection="0">
      <alignment vertical="center"/>
    </xf>
    <xf numFmtId="164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6" fillId="53" borderId="28" applyNumberFormat="0" applyAlignment="0" applyProtection="0">
      <alignment vertical="center"/>
    </xf>
    <xf numFmtId="0" fontId="47" fillId="9" borderId="12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9" fillId="10" borderId="13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164" fontId="48" fillId="72" borderId="29" applyNumberFormat="0" applyAlignment="0" applyProtection="0">
      <alignment vertical="center"/>
    </xf>
    <xf numFmtId="164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8" fillId="72" borderId="29" applyNumberFormat="0" applyAlignment="0" applyProtection="0">
      <alignment vertical="center"/>
    </xf>
    <xf numFmtId="0" fontId="49" fillId="10" borderId="13" applyNumberFormat="0" applyAlignment="0" applyProtection="0">
      <alignment vertical="center"/>
    </xf>
    <xf numFmtId="0" fontId="10" fillId="0" borderId="0">
      <alignment vertical="center"/>
    </xf>
    <xf numFmtId="0" fontId="50" fillId="49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164" fontId="50" fillId="49" borderId="0" applyNumberFormat="0" applyBorder="0" applyAlignment="0" applyProtection="0">
      <alignment vertical="center"/>
    </xf>
    <xf numFmtId="0" fontId="51" fillId="7" borderId="0" applyNumberFormat="0" applyBorder="0" applyAlignment="0" applyProtection="0">
      <alignment vertical="center"/>
    </xf>
    <xf numFmtId="0" fontId="33" fillId="73" borderId="23" applyNumberFormat="0" applyFont="0" applyBorder="0" applyAlignment="0" applyProtection="0">
      <alignment horizontal="center" vertical="center"/>
    </xf>
    <xf numFmtId="0" fontId="33" fillId="73" borderId="23" applyNumberFormat="0" applyFont="0" applyBorder="0" applyAlignment="0" applyProtection="0">
      <alignment horizontal="center" vertical="center"/>
    </xf>
    <xf numFmtId="0" fontId="52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4" fontId="53" fillId="0" borderId="0" applyFont="0" applyFill="0" applyBorder="0" applyAlignment="0" applyProtection="0"/>
    <xf numFmtId="41" fontId="27" fillId="0" borderId="0" applyFont="0" applyFill="0" applyBorder="0" applyAlignment="0" applyProtection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27" fillId="0" borderId="0"/>
    <xf numFmtId="0" fontId="54" fillId="0" borderId="0">
      <alignment vertical="center"/>
    </xf>
    <xf numFmtId="0" fontId="54" fillId="0" borderId="0">
      <alignment vertical="center"/>
    </xf>
    <xf numFmtId="0" fontId="10" fillId="0" borderId="0">
      <alignment vertical="center"/>
    </xf>
    <xf numFmtId="0" fontId="13" fillId="0" borderId="0"/>
    <xf numFmtId="0" fontId="15" fillId="0" borderId="0">
      <alignment vertical="center"/>
    </xf>
    <xf numFmtId="164" fontId="13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5" fillId="0" borderId="0">
      <alignment vertical="center"/>
    </xf>
    <xf numFmtId="164" fontId="10" fillId="0" borderId="0">
      <alignment vertical="center"/>
    </xf>
    <xf numFmtId="0" fontId="13" fillId="0" borderId="0"/>
    <xf numFmtId="164" fontId="13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164" fontId="10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164" fontId="10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56" fillId="0" borderId="0" applyNumberFormat="0" applyBorder="0" applyAlignment="0" applyProtection="0"/>
    <xf numFmtId="164" fontId="10" fillId="0" borderId="0">
      <alignment vertical="center"/>
    </xf>
    <xf numFmtId="0" fontId="57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5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57" fillId="0" borderId="0">
      <alignment vertical="center"/>
    </xf>
    <xf numFmtId="0" fontId="13" fillId="0" borderId="0"/>
    <xf numFmtId="164" fontId="13" fillId="0" borderId="0"/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164" fontId="9" fillId="0" borderId="0">
      <alignment vertical="center"/>
    </xf>
    <xf numFmtId="164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10" fillId="0" borderId="0">
      <alignment vertical="center"/>
    </xf>
    <xf numFmtId="0" fontId="58" fillId="0" borderId="0" applyNumberFormat="0" applyFill="0" applyBorder="0" applyAlignment="0" applyProtection="0"/>
    <xf numFmtId="44" fontId="27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59" fillId="50" borderId="0" applyNumberFormat="0" applyBorder="0" applyAlignment="0" applyProtection="0">
      <alignment vertical="center"/>
    </xf>
    <xf numFmtId="0" fontId="60" fillId="6" borderId="0" applyNumberFormat="0" applyBorder="0" applyAlignment="0" applyProtection="0">
      <alignment vertical="center"/>
    </xf>
    <xf numFmtId="164" fontId="59" fillId="50" borderId="0" applyNumberFormat="0" applyBorder="0" applyAlignment="0" applyProtection="0">
      <alignment vertical="center"/>
    </xf>
    <xf numFmtId="0" fontId="60" fillId="6" borderId="0" applyNumberFormat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62" fillId="0" borderId="30" applyNumberFormat="0" applyFill="0" applyAlignment="0" applyProtection="0">
      <alignment vertical="center"/>
    </xf>
    <xf numFmtId="0" fontId="63" fillId="0" borderId="9" applyNumberFormat="0" applyFill="0" applyAlignment="0" applyProtection="0">
      <alignment vertical="center"/>
    </xf>
    <xf numFmtId="164" fontId="62" fillId="0" borderId="30" applyNumberFormat="0" applyFill="0" applyAlignment="0" applyProtection="0">
      <alignment vertical="center"/>
    </xf>
    <xf numFmtId="0" fontId="63" fillId="0" borderId="9" applyNumberFormat="0" applyFill="0" applyAlignment="0" applyProtection="0">
      <alignment vertical="center"/>
    </xf>
    <xf numFmtId="0" fontId="64" fillId="0" borderId="31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164" fontId="64" fillId="0" borderId="31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6" fillId="0" borderId="32" applyNumberFormat="0" applyFill="0" applyAlignment="0" applyProtection="0">
      <alignment vertical="center"/>
    </xf>
    <xf numFmtId="0" fontId="67" fillId="0" borderId="11" applyNumberFormat="0" applyFill="0" applyAlignment="0" applyProtection="0">
      <alignment vertical="center"/>
    </xf>
    <xf numFmtId="164" fontId="66" fillId="0" borderId="32" applyNumberFormat="0" applyFill="0" applyAlignment="0" applyProtection="0">
      <alignment vertical="center"/>
    </xf>
    <xf numFmtId="0" fontId="67" fillId="0" borderId="11" applyNumberFormat="0" applyFill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164" fontId="66" fillId="0" borderId="0" applyNumberFormat="0" applyFill="0" applyBorder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8" fillId="0" borderId="0">
      <alignment wrapText="1"/>
    </xf>
    <xf numFmtId="0" fontId="69" fillId="72" borderId="28" applyNumberFormat="0" applyAlignment="0" applyProtection="0">
      <alignment vertical="center"/>
    </xf>
    <xf numFmtId="0" fontId="70" fillId="10" borderId="12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164" fontId="69" fillId="72" borderId="28" applyNumberFormat="0" applyAlignment="0" applyProtection="0">
      <alignment vertical="center"/>
    </xf>
    <xf numFmtId="164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69" fillId="72" borderId="28" applyNumberFormat="0" applyAlignment="0" applyProtection="0">
      <alignment vertical="center"/>
    </xf>
    <xf numFmtId="0" fontId="70" fillId="10" borderId="12" applyNumberFormat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164" fontId="71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3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164" fontId="73" fillId="0" borderId="0" applyNumberFormat="0" applyFill="0" applyBorder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168" fontId="24" fillId="0" borderId="0" applyFont="0" applyFill="0" applyBorder="0" applyAlignment="0" applyProtection="0"/>
    <xf numFmtId="0" fontId="74" fillId="0" borderId="0" applyNumberFormat="0" applyFont="0" applyAlignment="0">
      <alignment horizontal="center" vertical="center" wrapText="1"/>
    </xf>
    <xf numFmtId="0" fontId="75" fillId="0" borderId="33" applyNumberFormat="0" applyFill="0" applyAlignment="0" applyProtection="0">
      <alignment vertical="center"/>
    </xf>
    <xf numFmtId="0" fontId="76" fillId="0" borderId="17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164" fontId="75" fillId="0" borderId="33" applyNumberFormat="0" applyFill="0" applyAlignment="0" applyProtection="0">
      <alignment vertical="center"/>
    </xf>
    <xf numFmtId="164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5" fillId="0" borderId="33" applyNumberFormat="0" applyFill="0" applyAlignment="0" applyProtection="0">
      <alignment vertical="center"/>
    </xf>
    <xf numFmtId="0" fontId="76" fillId="0" borderId="17" applyNumberFormat="0" applyFill="0" applyAlignment="0" applyProtection="0">
      <alignment vertical="center"/>
    </xf>
  </cellStyleXfs>
  <cellXfs count="123">
    <xf numFmtId="0" fontId="0" fillId="0" borderId="0" xfId="0"/>
    <xf numFmtId="0" fontId="0" fillId="0" borderId="0" xfId="0" applyFont="1"/>
    <xf numFmtId="0" fontId="0" fillId="3" borderId="2" xfId="0" applyFill="1" applyBorder="1"/>
    <xf numFmtId="0" fontId="0" fillId="3" borderId="0" xfId="0" applyFill="1" applyBorder="1"/>
    <xf numFmtId="0" fontId="0" fillId="3" borderId="6" xfId="0" applyFill="1" applyBorder="1"/>
    <xf numFmtId="0" fontId="1" fillId="3" borderId="1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0" fillId="3" borderId="0" xfId="0" applyFont="1" applyFill="1" applyBorder="1"/>
    <xf numFmtId="0" fontId="0" fillId="3" borderId="5" xfId="0" applyFont="1" applyFill="1" applyBorder="1"/>
    <xf numFmtId="0" fontId="0" fillId="3" borderId="4" xfId="0" applyFont="1" applyFill="1" applyBorder="1"/>
    <xf numFmtId="0" fontId="2" fillId="3" borderId="4" xfId="0" applyFont="1" applyFill="1" applyBorder="1"/>
    <xf numFmtId="0" fontId="0" fillId="3" borderId="0" xfId="0" quotePrefix="1" applyFont="1" applyFill="1" applyBorder="1"/>
    <xf numFmtId="0" fontId="0" fillId="3" borderId="8" xfId="0" applyFont="1" applyFill="1" applyBorder="1"/>
    <xf numFmtId="0" fontId="0" fillId="0" borderId="0" xfId="0" quotePrefix="1"/>
    <xf numFmtId="0" fontId="5" fillId="3" borderId="0" xfId="0" applyFont="1" applyFill="1" applyBorder="1" applyAlignment="1">
      <alignment horizontal="center"/>
    </xf>
    <xf numFmtId="0" fontId="0" fillId="3" borderId="5" xfId="0" applyFill="1" applyBorder="1"/>
    <xf numFmtId="0" fontId="0" fillId="3" borderId="7" xfId="0" applyFill="1" applyBorder="1" applyAlignment="1"/>
    <xf numFmtId="0" fontId="0" fillId="3" borderId="8" xfId="0" applyFont="1" applyFill="1" applyBorder="1" applyAlignment="1"/>
    <xf numFmtId="14" fontId="0" fillId="3" borderId="7" xfId="0" applyNumberFormat="1" applyFill="1" applyBorder="1" applyAlignment="1"/>
    <xf numFmtId="14" fontId="4" fillId="0" borderId="0" xfId="0" applyNumberFormat="1" applyFont="1"/>
    <xf numFmtId="0" fontId="0" fillId="3" borderId="5" xfId="0" applyFill="1" applyBorder="1" applyAlignment="1">
      <alignment horizontal="center"/>
    </xf>
    <xf numFmtId="14" fontId="0" fillId="3" borderId="0" xfId="0" applyNumberFormat="1" applyFont="1" applyFill="1" applyBorder="1"/>
    <xf numFmtId="14" fontId="5" fillId="3" borderId="0" xfId="0" applyNumberFormat="1" applyFont="1" applyFill="1" applyBorder="1" applyAlignment="1">
      <alignment horizontal="center"/>
    </xf>
    <xf numFmtId="14" fontId="0" fillId="3" borderId="0" xfId="0" applyNumberFormat="1" applyFont="1" applyFill="1" applyBorder="1" applyAlignment="1">
      <alignment horizontal="left"/>
    </xf>
    <xf numFmtId="0" fontId="3" fillId="3" borderId="0" xfId="1" applyFill="1" applyBorder="1" applyAlignment="1" applyProtection="1"/>
    <xf numFmtId="0" fontId="0" fillId="3" borderId="5" xfId="0" applyFont="1" applyFill="1" applyBorder="1" applyAlignment="1"/>
    <xf numFmtId="0" fontId="0" fillId="3" borderId="0" xfId="0" applyFont="1" applyFill="1" applyBorder="1" applyAlignment="1"/>
    <xf numFmtId="0" fontId="5" fillId="3" borderId="0" xfId="0" applyFont="1" applyFill="1" applyBorder="1" applyAlignment="1"/>
    <xf numFmtId="0" fontId="5" fillId="3" borderId="0" xfId="0" applyFont="1" applyFill="1" applyBorder="1" applyAlignment="1">
      <alignment horizontal="center"/>
    </xf>
    <xf numFmtId="0" fontId="6" fillId="0" borderId="4" xfId="0" applyFont="1" applyFill="1" applyBorder="1"/>
    <xf numFmtId="14" fontId="5" fillId="3" borderId="0" xfId="0" applyNumberFormat="1" applyFont="1" applyFill="1" applyBorder="1" applyAlignment="1">
      <alignment horizontal="left"/>
    </xf>
    <xf numFmtId="0" fontId="5" fillId="3" borderId="0" xfId="0" applyFont="1" applyFill="1" applyBorder="1"/>
    <xf numFmtId="0" fontId="3" fillId="0" borderId="2" xfId="1" applyBorder="1" applyAlignment="1" applyProtection="1"/>
    <xf numFmtId="0" fontId="3" fillId="0" borderId="3" xfId="1" applyBorder="1" applyAlignment="1" applyProtection="1"/>
    <xf numFmtId="14" fontId="0" fillId="3" borderId="0" xfId="0" applyNumberFormat="1" applyFont="1" applyFill="1" applyBorder="1" applyAlignment="1">
      <alignment horizontal="left"/>
    </xf>
    <xf numFmtId="0" fontId="5" fillId="3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wrapText="1"/>
    </xf>
    <xf numFmtId="0" fontId="5" fillId="3" borderId="0" xfId="0" applyFont="1" applyFill="1" applyBorder="1" applyAlignment="1">
      <alignment horizontal="left"/>
    </xf>
    <xf numFmtId="0" fontId="1" fillId="3" borderId="0" xfId="0" applyFont="1" applyFill="1" applyBorder="1" applyAlignment="1"/>
    <xf numFmtId="0" fontId="1" fillId="3" borderId="5" xfId="0" applyFont="1" applyFill="1" applyBorder="1" applyAlignment="1"/>
    <xf numFmtId="0" fontId="0" fillId="3" borderId="34" xfId="0" applyFill="1" applyBorder="1" applyAlignment="1"/>
    <xf numFmtId="0" fontId="6" fillId="3" borderId="0" xfId="0" applyFont="1" applyFill="1" applyBorder="1" applyAlignment="1"/>
    <xf numFmtId="22" fontId="0" fillId="3" borderId="34" xfId="0" applyNumberFormat="1" applyFont="1" applyFill="1" applyBorder="1" applyAlignment="1"/>
    <xf numFmtId="14" fontId="0" fillId="3" borderId="34" xfId="0" applyNumberFormat="1" applyFill="1" applyBorder="1" applyAlignment="1"/>
    <xf numFmtId="0" fontId="0" fillId="3" borderId="0" xfId="0" applyFill="1" applyBorder="1" applyAlignment="1"/>
    <xf numFmtId="0" fontId="1" fillId="5" borderId="4" xfId="0" applyFont="1" applyFill="1" applyBorder="1"/>
    <xf numFmtId="0" fontId="0" fillId="5" borderId="0" xfId="0" applyFill="1" applyBorder="1"/>
    <xf numFmtId="0" fontId="0" fillId="5" borderId="0" xfId="0" applyFont="1" applyFill="1" applyBorder="1" applyAlignment="1"/>
    <xf numFmtId="0" fontId="1" fillId="5" borderId="6" xfId="0" applyFont="1" applyFill="1" applyBorder="1"/>
    <xf numFmtId="0" fontId="3" fillId="5" borderId="0" xfId="1" applyFill="1" applyBorder="1" applyAlignment="1" applyProtection="1"/>
    <xf numFmtId="0" fontId="1" fillId="5" borderId="34" xfId="0" applyFont="1" applyFill="1" applyBorder="1" applyAlignment="1"/>
    <xf numFmtId="0" fontId="1" fillId="5" borderId="0" xfId="0" applyFont="1" applyFill="1" applyBorder="1" applyAlignment="1"/>
    <xf numFmtId="22" fontId="0" fillId="3" borderId="6" xfId="0" applyNumberFormat="1" applyFont="1" applyFill="1" applyBorder="1" applyAlignment="1"/>
    <xf numFmtId="0" fontId="0" fillId="3" borderId="38" xfId="0" applyFill="1" applyBorder="1"/>
    <xf numFmtId="0" fontId="77" fillId="3" borderId="0" xfId="0" applyFont="1" applyFill="1" applyBorder="1" applyAlignment="1"/>
    <xf numFmtId="0" fontId="1" fillId="3" borderId="38" xfId="0" applyFont="1" applyFill="1" applyBorder="1"/>
    <xf numFmtId="0" fontId="1" fillId="3" borderId="0" xfId="0" applyFont="1" applyFill="1" applyBorder="1"/>
    <xf numFmtId="0" fontId="1" fillId="3" borderId="34" xfId="0" applyFont="1" applyFill="1" applyBorder="1"/>
    <xf numFmtId="0" fontId="2" fillId="3" borderId="0" xfId="0" applyFont="1" applyFill="1" applyBorder="1"/>
    <xf numFmtId="0" fontId="77" fillId="3" borderId="0" xfId="0" applyFont="1" applyFill="1" applyBorder="1"/>
    <xf numFmtId="0" fontId="0" fillId="3" borderId="34" xfId="0" applyFill="1" applyBorder="1"/>
    <xf numFmtId="0" fontId="6" fillId="3" borderId="4" xfId="0" applyFont="1" applyFill="1" applyBorder="1"/>
    <xf numFmtId="0" fontId="6" fillId="3" borderId="0" xfId="0" applyFont="1" applyFill="1" applyBorder="1"/>
    <xf numFmtId="0" fontId="5" fillId="3" borderId="42" xfId="0" applyFont="1" applyFill="1" applyBorder="1" applyAlignment="1"/>
    <xf numFmtId="0" fontId="5" fillId="3" borderId="41" xfId="0" applyFont="1" applyFill="1" applyBorder="1" applyAlignment="1"/>
    <xf numFmtId="0" fontId="5" fillId="3" borderId="43" xfId="0" applyFont="1" applyFill="1" applyBorder="1" applyAlignment="1"/>
    <xf numFmtId="0" fontId="0" fillId="5" borderId="34" xfId="0" applyFill="1" applyBorder="1" applyAlignment="1"/>
    <xf numFmtId="0" fontId="1" fillId="3" borderId="34" xfId="0" applyFont="1" applyFill="1" applyBorder="1" applyAlignment="1"/>
    <xf numFmtId="14" fontId="0" fillId="3" borderId="0" xfId="0" applyNumberFormat="1" applyFill="1" applyBorder="1" applyAlignment="1"/>
    <xf numFmtId="0" fontId="0" fillId="3" borderId="35" xfId="0" applyFill="1" applyBorder="1" applyAlignment="1"/>
    <xf numFmtId="0" fontId="1" fillId="3" borderId="35" xfId="0" applyFont="1" applyFill="1" applyBorder="1" applyAlignment="1"/>
    <xf numFmtId="14" fontId="0" fillId="3" borderId="35" xfId="0" applyNumberFormat="1" applyFill="1" applyBorder="1" applyAlignment="1"/>
    <xf numFmtId="0" fontId="0" fillId="3" borderId="36" xfId="0" applyFont="1" applyFill="1" applyBorder="1" applyAlignment="1"/>
    <xf numFmtId="0" fontId="1" fillId="5" borderId="39" xfId="0" applyFont="1" applyFill="1" applyBorder="1"/>
    <xf numFmtId="0" fontId="0" fillId="5" borderId="38" xfId="0" applyFill="1" applyBorder="1"/>
    <xf numFmtId="0" fontId="3" fillId="0" borderId="38" xfId="1" applyBorder="1" applyAlignment="1" applyProtection="1"/>
    <xf numFmtId="0" fontId="3" fillId="5" borderId="38" xfId="1" applyFill="1" applyBorder="1" applyAlignment="1" applyProtection="1"/>
    <xf numFmtId="0" fontId="3" fillId="3" borderId="38" xfId="1" applyFill="1" applyBorder="1" applyAlignment="1" applyProtection="1"/>
    <xf numFmtId="0" fontId="3" fillId="3" borderId="40" xfId="1" applyFill="1" applyBorder="1" applyAlignment="1" applyProtection="1"/>
    <xf numFmtId="0" fontId="5" fillId="3" borderId="0" xfId="0" applyFont="1" applyFill="1"/>
    <xf numFmtId="0" fontId="0" fillId="3" borderId="0" xfId="0" applyFont="1" applyFill="1"/>
    <xf numFmtId="14" fontId="0" fillId="3" borderId="0" xfId="0" applyNumberFormat="1" applyFont="1" applyFill="1" applyBorder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0" fontId="0" fillId="2" borderId="34" xfId="0" applyFon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35" xfId="0" applyFont="1" applyFill="1" applyBorder="1" applyAlignment="1">
      <alignment horizontal="center"/>
    </xf>
    <xf numFmtId="0" fontId="0" fillId="2" borderId="36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1" fillId="5" borderId="39" xfId="0" applyFont="1" applyFill="1" applyBorder="1" applyAlignment="1">
      <alignment horizontal="left" vertical="top"/>
    </xf>
    <xf numFmtId="0" fontId="1" fillId="5" borderId="38" xfId="0" applyFont="1" applyFill="1" applyBorder="1" applyAlignment="1">
      <alignment horizontal="left" vertical="top"/>
    </xf>
    <xf numFmtId="0" fontId="1" fillId="5" borderId="4" xfId="0" applyFont="1" applyFill="1" applyBorder="1" applyAlignment="1">
      <alignment horizontal="left" vertical="top"/>
    </xf>
    <xf numFmtId="0" fontId="1" fillId="5" borderId="0" xfId="0" applyFont="1" applyFill="1" applyBorder="1" applyAlignment="1">
      <alignment horizontal="left" vertical="top"/>
    </xf>
    <xf numFmtId="0" fontId="1" fillId="5" borderId="6" xfId="0" applyFont="1" applyFill="1" applyBorder="1" applyAlignment="1">
      <alignment horizontal="left" vertical="top"/>
    </xf>
    <xf numFmtId="0" fontId="1" fillId="5" borderId="34" xfId="0" applyFont="1" applyFill="1" applyBorder="1" applyAlignment="1">
      <alignment horizontal="left" vertical="top"/>
    </xf>
    <xf numFmtId="0" fontId="0" fillId="2" borderId="37" xfId="0" applyFill="1" applyBorder="1" applyAlignment="1">
      <alignment horizontal="left"/>
    </xf>
    <xf numFmtId="0" fontId="0" fillId="2" borderId="35" xfId="0" applyFont="1" applyFill="1" applyBorder="1" applyAlignment="1">
      <alignment horizontal="left"/>
    </xf>
    <xf numFmtId="0" fontId="0" fillId="2" borderId="36" xfId="0" applyFont="1" applyFill="1" applyBorder="1" applyAlignment="1">
      <alignment horizontal="left"/>
    </xf>
    <xf numFmtId="0" fontId="0" fillId="3" borderId="37" xfId="0" applyFill="1" applyBorder="1" applyAlignment="1">
      <alignment horizontal="left" vertical="top" wrapText="1"/>
    </xf>
    <xf numFmtId="0" fontId="0" fillId="3" borderId="35" xfId="0" quotePrefix="1" applyFont="1" applyFill="1" applyBorder="1" applyAlignment="1">
      <alignment horizontal="left" vertical="top"/>
    </xf>
    <xf numFmtId="0" fontId="0" fillId="3" borderId="36" xfId="0" quotePrefix="1" applyFont="1" applyFill="1" applyBorder="1" applyAlignment="1">
      <alignment horizontal="left" vertical="top"/>
    </xf>
    <xf numFmtId="0" fontId="0" fillId="3" borderId="39" xfId="0" applyFill="1" applyBorder="1" applyAlignment="1">
      <alignment horizontal="left" vertical="top" wrapText="1"/>
    </xf>
    <xf numFmtId="0" fontId="0" fillId="3" borderId="38" xfId="0" applyFill="1" applyBorder="1" applyAlignment="1">
      <alignment horizontal="left" vertical="top"/>
    </xf>
    <xf numFmtId="0" fontId="0" fillId="3" borderId="40" xfId="0" applyFill="1" applyBorder="1" applyAlignment="1">
      <alignment horizontal="left" vertical="top"/>
    </xf>
    <xf numFmtId="0" fontId="0" fillId="3" borderId="39" xfId="0" applyFill="1" applyBorder="1" applyAlignment="1">
      <alignment horizontal="left" vertical="top"/>
    </xf>
    <xf numFmtId="0" fontId="0" fillId="2" borderId="6" xfId="0" applyFill="1" applyBorder="1" applyAlignment="1">
      <alignment horizontal="left"/>
    </xf>
    <xf numFmtId="0" fontId="0" fillId="2" borderId="34" xfId="0" applyFont="1" applyFill="1" applyBorder="1" applyAlignment="1">
      <alignment horizontal="left"/>
    </xf>
    <xf numFmtId="0" fontId="0" fillId="2" borderId="8" xfId="0" applyFont="1" applyFill="1" applyBorder="1" applyAlignment="1">
      <alignment horizontal="left"/>
    </xf>
    <xf numFmtId="14" fontId="0" fillId="3" borderId="37" xfId="0" applyNumberFormat="1" applyFill="1" applyBorder="1" applyAlignment="1">
      <alignment horizontal="left" vertical="top" wrapText="1"/>
    </xf>
    <xf numFmtId="14" fontId="0" fillId="3" borderId="35" xfId="0" applyNumberFormat="1" applyFill="1" applyBorder="1" applyAlignment="1">
      <alignment horizontal="left" vertical="top"/>
    </xf>
    <xf numFmtId="14" fontId="0" fillId="3" borderId="36" xfId="0" applyNumberFormat="1" applyFill="1" applyBorder="1" applyAlignment="1">
      <alignment horizontal="left" vertical="top"/>
    </xf>
    <xf numFmtId="0" fontId="0" fillId="3" borderId="37" xfId="0" applyFill="1" applyBorder="1" applyAlignment="1">
      <alignment horizontal="left" vertical="top"/>
    </xf>
    <xf numFmtId="14" fontId="0" fillId="3" borderId="37" xfId="0" applyNumberFormat="1" applyFill="1" applyBorder="1" applyAlignment="1">
      <alignment horizontal="left" vertical="top"/>
    </xf>
    <xf numFmtId="0" fontId="0" fillId="2" borderId="37" xfId="0" applyFill="1" applyBorder="1" applyAlignment="1">
      <alignment horizontal="left" wrapText="1"/>
    </xf>
  </cellXfs>
  <cellStyles count="1882">
    <cellStyle name="01" xfId="12"/>
    <cellStyle name="02" xfId="13"/>
    <cellStyle name="03" xfId="14"/>
    <cellStyle name="04" xfId="15"/>
    <cellStyle name="05" xfId="16"/>
    <cellStyle name="06" xfId="17"/>
    <cellStyle name="07" xfId="18"/>
    <cellStyle name="08" xfId="19"/>
    <cellStyle name="09" xfId="20"/>
    <cellStyle name="10" xfId="21"/>
    <cellStyle name="20% - アクセント 1 2" xfId="22"/>
    <cellStyle name="20% - アクセント 1 2 2" xfId="23"/>
    <cellStyle name="20% - アクセント 1 2 3" xfId="24"/>
    <cellStyle name="20% - アクセント 1 3" xfId="25"/>
    <cellStyle name="20% - アクセント 2 2" xfId="26"/>
    <cellStyle name="20% - アクセント 2 2 2" xfId="27"/>
    <cellStyle name="20% - アクセント 2 2 3" xfId="28"/>
    <cellStyle name="20% - アクセント 2 3" xfId="29"/>
    <cellStyle name="20% - アクセント 3 2" xfId="30"/>
    <cellStyle name="20% - アクセント 3 2 2" xfId="31"/>
    <cellStyle name="20% - アクセント 3 2 3" xfId="32"/>
    <cellStyle name="20% - アクセント 3 3" xfId="33"/>
    <cellStyle name="20% - アクセント 4 2" xfId="34"/>
    <cellStyle name="20% - アクセント 4 2 2" xfId="35"/>
    <cellStyle name="20% - アクセント 4 2 3" xfId="36"/>
    <cellStyle name="20% - アクセント 4 3" xfId="37"/>
    <cellStyle name="20% - アクセント 5 2" xfId="38"/>
    <cellStyle name="20% - アクセント 5 2 2" xfId="39"/>
    <cellStyle name="20% - アクセント 5 2 3" xfId="40"/>
    <cellStyle name="20% - アクセント 5 3" xfId="41"/>
    <cellStyle name="20% - アクセント 6 2" xfId="42"/>
    <cellStyle name="20% - アクセント 6 2 2" xfId="43"/>
    <cellStyle name="20% - アクセント 6 2 3" xfId="44"/>
    <cellStyle name="20% - アクセント 6 3" xfId="45"/>
    <cellStyle name="40% - アクセント 1 2" xfId="46"/>
    <cellStyle name="40% - アクセント 1 2 2" xfId="47"/>
    <cellStyle name="40% - アクセント 1 2 3" xfId="48"/>
    <cellStyle name="40% - アクセント 1 3" xfId="49"/>
    <cellStyle name="40% - アクセント 2 2" xfId="50"/>
    <cellStyle name="40% - アクセント 2 2 2" xfId="51"/>
    <cellStyle name="40% - アクセント 2 2 3" xfId="52"/>
    <cellStyle name="40% - アクセント 2 3" xfId="53"/>
    <cellStyle name="40% - アクセント 3 2" xfId="54"/>
    <cellStyle name="40% - アクセント 3 2 2" xfId="55"/>
    <cellStyle name="40% - アクセント 3 2 3" xfId="56"/>
    <cellStyle name="40% - アクセント 3 3" xfId="57"/>
    <cellStyle name="40% - アクセント 4 2" xfId="58"/>
    <cellStyle name="40% - アクセント 4 2 2" xfId="59"/>
    <cellStyle name="40% - アクセント 4 2 3" xfId="60"/>
    <cellStyle name="40% - アクセント 4 3" xfId="61"/>
    <cellStyle name="40% - アクセント 5 2" xfId="62"/>
    <cellStyle name="40% - アクセント 5 2 2" xfId="63"/>
    <cellStyle name="40% - アクセント 5 2 3" xfId="64"/>
    <cellStyle name="40% - アクセント 5 3" xfId="65"/>
    <cellStyle name="40% - アクセント 6 2" xfId="66"/>
    <cellStyle name="40% - アクセント 6 2 2" xfId="67"/>
    <cellStyle name="40% - アクセント 6 2 3" xfId="68"/>
    <cellStyle name="40% - アクセント 6 3" xfId="69"/>
    <cellStyle name="60% - アクセント 1 2" xfId="70"/>
    <cellStyle name="60% - アクセント 1 2 2" xfId="71"/>
    <cellStyle name="60% - アクセント 1 2 3" xfId="72"/>
    <cellStyle name="60% - アクセント 1 3" xfId="73"/>
    <cellStyle name="60% - アクセント 2 2" xfId="74"/>
    <cellStyle name="60% - アクセント 2 2 2" xfId="75"/>
    <cellStyle name="60% - アクセント 2 2 3" xfId="76"/>
    <cellStyle name="60% - アクセント 2 3" xfId="77"/>
    <cellStyle name="60% - アクセント 3 2" xfId="78"/>
    <cellStyle name="60% - アクセント 3 2 2" xfId="79"/>
    <cellStyle name="60% - アクセント 3 2 3" xfId="80"/>
    <cellStyle name="60% - アクセント 3 3" xfId="81"/>
    <cellStyle name="60% - アクセント 4 2" xfId="82"/>
    <cellStyle name="60% - アクセント 4 2 2" xfId="83"/>
    <cellStyle name="60% - アクセント 4 2 3" xfId="84"/>
    <cellStyle name="60% - アクセント 4 3" xfId="85"/>
    <cellStyle name="60% - アクセント 5 2" xfId="86"/>
    <cellStyle name="60% - アクセント 5 2 2" xfId="87"/>
    <cellStyle name="60% - アクセント 5 2 3" xfId="88"/>
    <cellStyle name="60% - アクセント 5 3" xfId="89"/>
    <cellStyle name="60% - アクセント 6 2" xfId="90"/>
    <cellStyle name="60% - アクセント 6 2 2" xfId="91"/>
    <cellStyle name="60% - アクセント 6 2 3" xfId="92"/>
    <cellStyle name="60% - アクセント 6 3" xfId="93"/>
    <cellStyle name="Calc Currency (0)" xfId="94"/>
    <cellStyle name="entry" xfId="95"/>
    <cellStyle name="Grey" xfId="96"/>
    <cellStyle name="Header1" xfId="97"/>
    <cellStyle name="Header2" xfId="98"/>
    <cellStyle name="Hyperlink" xfId="1" builtinId="8"/>
    <cellStyle name="Hyperlink 2" xfId="11"/>
    <cellStyle name="Hyperlink 2 2" xfId="99"/>
    <cellStyle name="IBM(401K)" xfId="100"/>
    <cellStyle name="Input [yellow]" xfId="101"/>
    <cellStyle name="J401K" xfId="102"/>
    <cellStyle name="Normal" xfId="0" builtinId="0"/>
    <cellStyle name="Normal - Style1" xfId="103"/>
    <cellStyle name="Normal 10" xfId="2"/>
    <cellStyle name="Normal 11" xfId="104"/>
    <cellStyle name="Normal 12" xfId="10"/>
    <cellStyle name="Normal 2" xfId="4"/>
    <cellStyle name="Normal 2 2" xfId="105"/>
    <cellStyle name="Normal 3" xfId="5"/>
    <cellStyle name="Normal 3 2" xfId="3"/>
    <cellStyle name="Normal 4" xfId="6"/>
    <cellStyle name="Normal 4 2" xfId="9"/>
    <cellStyle name="Normal 5" xfId="106"/>
    <cellStyle name="Normal 6" xfId="107"/>
    <cellStyle name="Normal 6 2" xfId="108"/>
    <cellStyle name="Normal 6 3" xfId="109"/>
    <cellStyle name="Normal 7" xfId="110"/>
    <cellStyle name="Normal 7 2" xfId="111"/>
    <cellStyle name="Normal 8" xfId="8"/>
    <cellStyle name="Normal 8 2" xfId="112"/>
    <cellStyle name="Normal 9" xfId="7"/>
    <cellStyle name="Normal 9 2" xfId="113"/>
    <cellStyle name="Percent [2]" xfId="114"/>
    <cellStyle name="price" xfId="115"/>
    <cellStyle name="revised" xfId="116"/>
    <cellStyle name="section" xfId="117"/>
    <cellStyle name="subhead" xfId="118"/>
    <cellStyle name="title 2" xfId="119"/>
    <cellStyle name="WF_ACTIVITY" xfId="120"/>
    <cellStyle name="アクセント 1 2" xfId="121"/>
    <cellStyle name="アクセント 1 2 2" xfId="122"/>
    <cellStyle name="アクセント 1 2 3" xfId="123"/>
    <cellStyle name="アクセント 1 3" xfId="124"/>
    <cellStyle name="アクセント 2 2" xfId="125"/>
    <cellStyle name="アクセント 2 2 2" xfId="126"/>
    <cellStyle name="アクセント 2 2 3" xfId="127"/>
    <cellStyle name="アクセント 2 3" xfId="128"/>
    <cellStyle name="アクセント 2 4" xfId="129"/>
    <cellStyle name="アクセント 3 2" xfId="130"/>
    <cellStyle name="アクセント 3 2 2" xfId="131"/>
    <cellStyle name="アクセント 3 2 3" xfId="132"/>
    <cellStyle name="アクセント 3 3" xfId="133"/>
    <cellStyle name="アクセント 4 2" xfId="134"/>
    <cellStyle name="アクセント 4 2 2" xfId="135"/>
    <cellStyle name="アクセント 4 2 3" xfId="136"/>
    <cellStyle name="アクセント 4 3" xfId="137"/>
    <cellStyle name="アクセント 5 2" xfId="138"/>
    <cellStyle name="アクセント 5 2 2" xfId="139"/>
    <cellStyle name="アクセント 5 2 3" xfId="140"/>
    <cellStyle name="アクセント 5 3" xfId="141"/>
    <cellStyle name="アクセント 6 2" xfId="142"/>
    <cellStyle name="アクセント 6 2 2" xfId="143"/>
    <cellStyle name="アクセント 6 2 3" xfId="144"/>
    <cellStyle name="アクセント 6 3" xfId="145"/>
    <cellStyle name="カラム変更" xfId="146"/>
    <cellStyle name="カラム変更 2" xfId="147"/>
    <cellStyle name="カラム追加" xfId="148"/>
    <cellStyle name="カラム追加 2" xfId="149"/>
    <cellStyle name="タイトル" xfId="150"/>
    <cellStyle name="タイトル 2" xfId="151"/>
    <cellStyle name="タイトル 2 2" xfId="152"/>
    <cellStyle name="タイトル 2 3" xfId="153"/>
    <cellStyle name="タイトル 3" xfId="154"/>
    <cellStyle name="チェック セル 2" xfId="155"/>
    <cellStyle name="チェック セル 2 2" xfId="156"/>
    <cellStyle name="チェック セル 2 3" xfId="157"/>
    <cellStyle name="チェック セル 3" xfId="158"/>
    <cellStyle name="どちらでもない 2" xfId="159"/>
    <cellStyle name="どちらでもない 2 2" xfId="160"/>
    <cellStyle name="どちらでもない 2 3" xfId="161"/>
    <cellStyle name="どちらでもない 3" xfId="162"/>
    <cellStyle name="パーセント 2" xfId="163"/>
    <cellStyle name="ハイパーリンク 2" xfId="164"/>
    <cellStyle name="ハイパーリンク 2 2" xfId="165"/>
    <cellStyle name="ハイパーリンク 3" xfId="166"/>
    <cellStyle name="ハイパーリンク 4" xfId="167"/>
    <cellStyle name="パ－セント" xfId="168"/>
    <cellStyle name="パ−セント" xfId="169"/>
    <cellStyle name="メモ 2" xfId="170"/>
    <cellStyle name="メモ 2 2" xfId="171"/>
    <cellStyle name="メモ 2 2 2" xfId="172"/>
    <cellStyle name="メモ 2 2 2 2" xfId="173"/>
    <cellStyle name="メモ 2 2 3" xfId="174"/>
    <cellStyle name="メモ 2 2 3 2" xfId="175"/>
    <cellStyle name="メモ 2 2 4" xfId="176"/>
    <cellStyle name="メモ 2 3" xfId="177"/>
    <cellStyle name="メモ 2 3 2" xfId="178"/>
    <cellStyle name="メモ 2 3 2 2" xfId="179"/>
    <cellStyle name="メモ 2 3 3" xfId="180"/>
    <cellStyle name="メモ 2 3 3 2" xfId="181"/>
    <cellStyle name="メモ 2 3 4" xfId="182"/>
    <cellStyle name="メモ 2 4" xfId="183"/>
    <cellStyle name="メモ 2 4 2" xfId="184"/>
    <cellStyle name="メモ 2 5" xfId="185"/>
    <cellStyle name="メモ 2 5 2" xfId="186"/>
    <cellStyle name="メモ 2 6" xfId="187"/>
    <cellStyle name="メモ 2 6 2" xfId="188"/>
    <cellStyle name="メモ 2 7" xfId="189"/>
    <cellStyle name="メモ 2 7 2" xfId="190"/>
    <cellStyle name="メモ 2 8" xfId="191"/>
    <cellStyle name="メモ 3" xfId="192"/>
    <cellStyle name="メモ 3 2" xfId="193"/>
    <cellStyle name="メモ 3 2 2" xfId="194"/>
    <cellStyle name="メモ 3 2 2 2" xfId="195"/>
    <cellStyle name="メモ 3 2 3" xfId="196"/>
    <cellStyle name="メモ 3 2 3 2" xfId="197"/>
    <cellStyle name="メモ 3 2 4" xfId="198"/>
    <cellStyle name="メモ 3 3" xfId="199"/>
    <cellStyle name="メモ 3 3 2" xfId="200"/>
    <cellStyle name="メモ 3 3 2 2" xfId="201"/>
    <cellStyle name="メモ 3 3 3" xfId="202"/>
    <cellStyle name="メモ 3 3 3 2" xfId="203"/>
    <cellStyle name="メモ 3 3 4" xfId="204"/>
    <cellStyle name="メモ 3 4" xfId="205"/>
    <cellStyle name="メモ 3 4 2" xfId="206"/>
    <cellStyle name="メモ 3 5" xfId="207"/>
    <cellStyle name="メモ 3 5 2" xfId="208"/>
    <cellStyle name="メモ 3 6" xfId="209"/>
    <cellStyle name="メモ 3 6 2" xfId="210"/>
    <cellStyle name="メモ 3 7" xfId="211"/>
    <cellStyle name="メモ 3 7 2" xfId="212"/>
    <cellStyle name="メモ 3 8" xfId="213"/>
    <cellStyle name="リンク セル 2" xfId="214"/>
    <cellStyle name="リンク セル 2 2" xfId="215"/>
    <cellStyle name="リンク セル 2 3" xfId="216"/>
    <cellStyle name="リンク セル 3" xfId="217"/>
    <cellStyle name="入力 2" xfId="218"/>
    <cellStyle name="入力 2 2" xfId="219"/>
    <cellStyle name="入力 2 2 2" xfId="220"/>
    <cellStyle name="入力 2 3" xfId="221"/>
    <cellStyle name="入力 2 3 2" xfId="222"/>
    <cellStyle name="入力 2 4" xfId="223"/>
    <cellStyle name="入力 2 4 2" xfId="224"/>
    <cellStyle name="入力 2 5" xfId="225"/>
    <cellStyle name="入力 2 5 2" xfId="226"/>
    <cellStyle name="入力 2 6" xfId="227"/>
    <cellStyle name="入力 3" xfId="228"/>
    <cellStyle name="出力 2" xfId="229"/>
    <cellStyle name="出力 2 2" xfId="230"/>
    <cellStyle name="出力 2 2 2" xfId="231"/>
    <cellStyle name="出力 2 3" xfId="232"/>
    <cellStyle name="出力 2 3 2" xfId="233"/>
    <cellStyle name="出力 2 4" xfId="234"/>
    <cellStyle name="出力 2 4 2" xfId="235"/>
    <cellStyle name="出力 2 5" xfId="236"/>
    <cellStyle name="出力 2 5 2" xfId="237"/>
    <cellStyle name="出力 2 6" xfId="238"/>
    <cellStyle name="出力 3" xfId="239"/>
    <cellStyle name="常规_8月社内システム作業一覧N" xfId="240"/>
    <cellStyle name="悪い 2" xfId="241"/>
    <cellStyle name="悪い 2 2" xfId="242"/>
    <cellStyle name="悪い 2 3" xfId="243"/>
    <cellStyle name="悪い 3" xfId="244"/>
    <cellStyle name="未使用" xfId="245"/>
    <cellStyle name="未使用 2" xfId="246"/>
    <cellStyle name="未定義" xfId="247"/>
    <cellStyle name="桁区切り 2" xfId="248"/>
    <cellStyle name="桁区切り 2 2" xfId="249"/>
    <cellStyle name="桁区切り 3" xfId="250"/>
    <cellStyle name="桁区切り 4" xfId="251"/>
    <cellStyle name="桁蟻唇Ｆ [0.00]_１１月・格表" xfId="252"/>
    <cellStyle name="桁蟻唇Ｆ_１１月・格表" xfId="253"/>
    <cellStyle name="標準 10" xfId="254"/>
    <cellStyle name="標準 10 2" xfId="255"/>
    <cellStyle name="標準 10 3" xfId="256"/>
    <cellStyle name="標準 10 3 2" xfId="257"/>
    <cellStyle name="標準 10 4" xfId="258"/>
    <cellStyle name="標準 11" xfId="259"/>
    <cellStyle name="標準 11 2" xfId="260"/>
    <cellStyle name="標準 11 2 2" xfId="261"/>
    <cellStyle name="標準 11 2 2 2" xfId="262"/>
    <cellStyle name="標準 11 2 3" xfId="263"/>
    <cellStyle name="標準 11 2 3 2" xfId="264"/>
    <cellStyle name="標準 11 2 4" xfId="265"/>
    <cellStyle name="標準 11 3" xfId="266"/>
    <cellStyle name="標準 11 3 2" xfId="267"/>
    <cellStyle name="標準 11 3 2 2" xfId="268"/>
    <cellStyle name="標準 11 3 3" xfId="269"/>
    <cellStyle name="標準 11 3 3 2" xfId="270"/>
    <cellStyle name="標準 11 3 4" xfId="271"/>
    <cellStyle name="標準 11 4" xfId="272"/>
    <cellStyle name="標準 11 4 2" xfId="273"/>
    <cellStyle name="標準 11 4 2 2" xfId="274"/>
    <cellStyle name="標準 11 4 3" xfId="275"/>
    <cellStyle name="標準 11 4 3 2" xfId="276"/>
    <cellStyle name="標準 11 4 4" xfId="277"/>
    <cellStyle name="標準 11 5" xfId="278"/>
    <cellStyle name="標準 11 5 2" xfId="279"/>
    <cellStyle name="標準 11 6" xfId="280"/>
    <cellStyle name="標準 11 6 2" xfId="281"/>
    <cellStyle name="標準 11 7" xfId="282"/>
    <cellStyle name="標準 11 7 2" xfId="283"/>
    <cellStyle name="標準 11 8" xfId="284"/>
    <cellStyle name="標準 12" xfId="285"/>
    <cellStyle name="標準 12 2" xfId="286"/>
    <cellStyle name="標準 13" xfId="287"/>
    <cellStyle name="標準 2" xfId="288"/>
    <cellStyle name="標準 2 2" xfId="289"/>
    <cellStyle name="標準 2 2 2" xfId="290"/>
    <cellStyle name="標準 2 2 3" xfId="291"/>
    <cellStyle name="標準 2 3" xfId="292"/>
    <cellStyle name="標準 2 3 2" xfId="293"/>
    <cellStyle name="標準 2 3 3" xfId="294"/>
    <cellStyle name="標準 2 3 3 2" xfId="295"/>
    <cellStyle name="標準 2 3 4" xfId="296"/>
    <cellStyle name="標準 2 3 5" xfId="297"/>
    <cellStyle name="標準 2 4" xfId="298"/>
    <cellStyle name="標準 2 4 2" xfId="299"/>
    <cellStyle name="標準 2 5" xfId="300"/>
    <cellStyle name="標準 2 6" xfId="301"/>
    <cellStyle name="標準 2 6 2" xfId="302"/>
    <cellStyle name="標準 2 7" xfId="303"/>
    <cellStyle name="標準 3" xfId="304"/>
    <cellStyle name="標準 3 10" xfId="305"/>
    <cellStyle name="標準 3 2" xfId="306"/>
    <cellStyle name="標準 3 2 2" xfId="307"/>
    <cellStyle name="標準 3 2 3" xfId="308"/>
    <cellStyle name="標準 3 2 3 2" xfId="309"/>
    <cellStyle name="標準 3 2 4" xfId="310"/>
    <cellStyle name="標準 3 3" xfId="311"/>
    <cellStyle name="標準 3 3 2" xfId="312"/>
    <cellStyle name="標準 3 3 3" xfId="313"/>
    <cellStyle name="標準 3 3 3 2" xfId="314"/>
    <cellStyle name="標準 3 3 4" xfId="315"/>
    <cellStyle name="標準 3 4" xfId="316"/>
    <cellStyle name="標準 3 4 10" xfId="317"/>
    <cellStyle name="標準 3 4 10 2" xfId="318"/>
    <cellStyle name="標準 3 4 11" xfId="319"/>
    <cellStyle name="標準 3 4 11 2" xfId="320"/>
    <cellStyle name="標準 3 4 12" xfId="321"/>
    <cellStyle name="標準 3 4 2" xfId="322"/>
    <cellStyle name="標準 3 4 2 10" xfId="323"/>
    <cellStyle name="標準 3 4 2 10 2" xfId="324"/>
    <cellStyle name="標準 3 4 2 11" xfId="325"/>
    <cellStyle name="標準 3 4 2 2" xfId="326"/>
    <cellStyle name="標準 3 4 2 2 2" xfId="327"/>
    <cellStyle name="標準 3 4 2 2 2 2" xfId="328"/>
    <cellStyle name="標準 3 4 2 2 2 2 2" xfId="329"/>
    <cellStyle name="標準 3 4 2 2 2 2 2 2" xfId="330"/>
    <cellStyle name="標準 3 4 2 2 2 2 3" xfId="331"/>
    <cellStyle name="標準 3 4 2 2 2 2 3 2" xfId="332"/>
    <cellStyle name="標準 3 4 2 2 2 2 4" xfId="333"/>
    <cellStyle name="標準 3 4 2 2 2 3" xfId="334"/>
    <cellStyle name="標準 3 4 2 2 2 3 2" xfId="335"/>
    <cellStyle name="標準 3 4 2 2 2 3 2 2" xfId="336"/>
    <cellStyle name="標準 3 4 2 2 2 3 3" xfId="337"/>
    <cellStyle name="標準 3 4 2 2 2 3 3 2" xfId="338"/>
    <cellStyle name="標準 3 4 2 2 2 3 4" xfId="339"/>
    <cellStyle name="標準 3 4 2 2 2 4" xfId="340"/>
    <cellStyle name="標準 3 4 2 2 2 4 2" xfId="341"/>
    <cellStyle name="標準 3 4 2 2 2 4 2 2" xfId="342"/>
    <cellStyle name="標準 3 4 2 2 2 4 3" xfId="343"/>
    <cellStyle name="標準 3 4 2 2 2 4 3 2" xfId="344"/>
    <cellStyle name="標準 3 4 2 2 2 4 4" xfId="345"/>
    <cellStyle name="標準 3 4 2 2 2 5" xfId="346"/>
    <cellStyle name="標準 3 4 2 2 2 5 2" xfId="347"/>
    <cellStyle name="標準 3 4 2 2 2 6" xfId="348"/>
    <cellStyle name="標準 3 4 2 2 2 6 2" xfId="349"/>
    <cellStyle name="標準 3 4 2 2 2 7" xfId="350"/>
    <cellStyle name="標準 3 4 2 2 2 7 2" xfId="351"/>
    <cellStyle name="標準 3 4 2 2 2 8" xfId="352"/>
    <cellStyle name="標準 3 4 2 2 3" xfId="353"/>
    <cellStyle name="標準 3 4 2 2 3 2" xfId="354"/>
    <cellStyle name="標準 3 4 2 2 3 2 2" xfId="355"/>
    <cellStyle name="標準 3 4 2 2 3 3" xfId="356"/>
    <cellStyle name="標準 3 4 2 2 3 3 2" xfId="357"/>
    <cellStyle name="標準 3 4 2 2 3 4" xfId="358"/>
    <cellStyle name="標準 3 4 2 2 4" xfId="359"/>
    <cellStyle name="標準 3 4 2 2 4 2" xfId="360"/>
    <cellStyle name="標準 3 4 2 2 4 2 2" xfId="361"/>
    <cellStyle name="標準 3 4 2 2 4 3" xfId="362"/>
    <cellStyle name="標準 3 4 2 2 4 3 2" xfId="363"/>
    <cellStyle name="標準 3 4 2 2 4 4" xfId="364"/>
    <cellStyle name="標準 3 4 2 2 5" xfId="365"/>
    <cellStyle name="標準 3 4 2 2 5 2" xfId="366"/>
    <cellStyle name="標準 3 4 2 2 5 2 2" xfId="367"/>
    <cellStyle name="標準 3 4 2 2 5 3" xfId="368"/>
    <cellStyle name="標準 3 4 2 2 5 3 2" xfId="369"/>
    <cellStyle name="標準 3 4 2 2 5 4" xfId="370"/>
    <cellStyle name="標準 3 4 2 2 6" xfId="371"/>
    <cellStyle name="標準 3 4 2 2 6 2" xfId="372"/>
    <cellStyle name="標準 3 4 2 2 7" xfId="373"/>
    <cellStyle name="標準 3 4 2 2 7 2" xfId="374"/>
    <cellStyle name="標準 3 4 2 2 8" xfId="375"/>
    <cellStyle name="標準 3 4 2 2 8 2" xfId="376"/>
    <cellStyle name="標準 3 4 2 2 9" xfId="377"/>
    <cellStyle name="標準 3 4 2 3" xfId="378"/>
    <cellStyle name="標準 3 4 2 3 2" xfId="379"/>
    <cellStyle name="標準 3 4 2 3 2 2" xfId="380"/>
    <cellStyle name="標準 3 4 2 3 2 2 2" xfId="381"/>
    <cellStyle name="標準 3 4 2 3 2 2 2 2" xfId="382"/>
    <cellStyle name="標準 3 4 2 3 2 2 3" xfId="383"/>
    <cellStyle name="標準 3 4 2 3 2 2 3 2" xfId="384"/>
    <cellStyle name="標準 3 4 2 3 2 2 4" xfId="385"/>
    <cellStyle name="標準 3 4 2 3 2 3" xfId="386"/>
    <cellStyle name="標準 3 4 2 3 2 3 2" xfId="387"/>
    <cellStyle name="標準 3 4 2 3 2 3 2 2" xfId="388"/>
    <cellStyle name="標準 3 4 2 3 2 3 3" xfId="389"/>
    <cellStyle name="標準 3 4 2 3 2 3 3 2" xfId="390"/>
    <cellStyle name="標準 3 4 2 3 2 3 4" xfId="391"/>
    <cellStyle name="標準 3 4 2 3 2 4" xfId="392"/>
    <cellStyle name="標準 3 4 2 3 2 4 2" xfId="393"/>
    <cellStyle name="標準 3 4 2 3 2 4 2 2" xfId="394"/>
    <cellStyle name="標準 3 4 2 3 2 4 3" xfId="395"/>
    <cellStyle name="標準 3 4 2 3 2 4 3 2" xfId="396"/>
    <cellStyle name="標準 3 4 2 3 2 4 4" xfId="397"/>
    <cellStyle name="標準 3 4 2 3 2 5" xfId="398"/>
    <cellStyle name="標準 3 4 2 3 2 5 2" xfId="399"/>
    <cellStyle name="標準 3 4 2 3 2 6" xfId="400"/>
    <cellStyle name="標準 3 4 2 3 2 6 2" xfId="401"/>
    <cellStyle name="標準 3 4 2 3 2 7" xfId="402"/>
    <cellStyle name="標準 3 4 2 3 2 7 2" xfId="403"/>
    <cellStyle name="標準 3 4 2 3 2 8" xfId="404"/>
    <cellStyle name="標準 3 4 2 3 3" xfId="405"/>
    <cellStyle name="標準 3 4 2 3 3 2" xfId="406"/>
    <cellStyle name="標準 3 4 2 3 3 2 2" xfId="407"/>
    <cellStyle name="標準 3 4 2 3 3 3" xfId="408"/>
    <cellStyle name="標準 3 4 2 3 3 3 2" xfId="409"/>
    <cellStyle name="標準 3 4 2 3 3 4" xfId="410"/>
    <cellStyle name="標準 3 4 2 3 4" xfId="411"/>
    <cellStyle name="標準 3 4 2 3 4 2" xfId="412"/>
    <cellStyle name="標準 3 4 2 3 4 2 2" xfId="413"/>
    <cellStyle name="標準 3 4 2 3 4 3" xfId="414"/>
    <cellStyle name="標準 3 4 2 3 4 3 2" xfId="415"/>
    <cellStyle name="標準 3 4 2 3 4 4" xfId="416"/>
    <cellStyle name="標準 3 4 2 3 5" xfId="417"/>
    <cellStyle name="標準 3 4 2 3 5 2" xfId="418"/>
    <cellStyle name="標準 3 4 2 3 5 2 2" xfId="419"/>
    <cellStyle name="標準 3 4 2 3 5 3" xfId="420"/>
    <cellStyle name="標準 3 4 2 3 5 3 2" xfId="421"/>
    <cellStyle name="標準 3 4 2 3 5 4" xfId="422"/>
    <cellStyle name="標準 3 4 2 3 6" xfId="423"/>
    <cellStyle name="標準 3 4 2 3 6 2" xfId="424"/>
    <cellStyle name="標準 3 4 2 3 7" xfId="425"/>
    <cellStyle name="標準 3 4 2 3 7 2" xfId="426"/>
    <cellStyle name="標準 3 4 2 3 8" xfId="427"/>
    <cellStyle name="標準 3 4 2 3 8 2" xfId="428"/>
    <cellStyle name="標準 3 4 2 3 9" xfId="429"/>
    <cellStyle name="標準 3 4 2 4" xfId="430"/>
    <cellStyle name="標準 3 4 2 4 2" xfId="431"/>
    <cellStyle name="標準 3 4 2 4 2 2" xfId="432"/>
    <cellStyle name="標準 3 4 2 4 2 2 2" xfId="433"/>
    <cellStyle name="標準 3 4 2 4 2 3" xfId="434"/>
    <cellStyle name="標準 3 4 2 4 2 3 2" xfId="435"/>
    <cellStyle name="標準 3 4 2 4 2 4" xfId="436"/>
    <cellStyle name="標準 3 4 2 4 3" xfId="437"/>
    <cellStyle name="標準 3 4 2 4 3 2" xfId="438"/>
    <cellStyle name="標準 3 4 2 4 3 2 2" xfId="439"/>
    <cellStyle name="標準 3 4 2 4 3 3" xfId="440"/>
    <cellStyle name="標準 3 4 2 4 3 3 2" xfId="441"/>
    <cellStyle name="標準 3 4 2 4 3 4" xfId="442"/>
    <cellStyle name="標準 3 4 2 4 4" xfId="443"/>
    <cellStyle name="標準 3 4 2 4 4 2" xfId="444"/>
    <cellStyle name="標準 3 4 2 4 4 2 2" xfId="445"/>
    <cellStyle name="標準 3 4 2 4 4 3" xfId="446"/>
    <cellStyle name="標準 3 4 2 4 4 3 2" xfId="447"/>
    <cellStyle name="標準 3 4 2 4 4 4" xfId="448"/>
    <cellStyle name="標準 3 4 2 4 5" xfId="449"/>
    <cellStyle name="標準 3 4 2 4 5 2" xfId="450"/>
    <cellStyle name="標準 3 4 2 4 6" xfId="451"/>
    <cellStyle name="標準 3 4 2 4 6 2" xfId="452"/>
    <cellStyle name="標準 3 4 2 4 7" xfId="453"/>
    <cellStyle name="標準 3 4 2 4 7 2" xfId="454"/>
    <cellStyle name="標準 3 4 2 4 8" xfId="455"/>
    <cellStyle name="標準 3 4 2 5" xfId="456"/>
    <cellStyle name="標準 3 4 2 5 2" xfId="457"/>
    <cellStyle name="標準 3 4 2 5 2 2" xfId="458"/>
    <cellStyle name="標準 3 4 2 5 3" xfId="459"/>
    <cellStyle name="標準 3 4 2 5 3 2" xfId="460"/>
    <cellStyle name="標準 3 4 2 5 4" xfId="461"/>
    <cellStyle name="標準 3 4 2 6" xfId="462"/>
    <cellStyle name="標準 3 4 2 6 2" xfId="463"/>
    <cellStyle name="標準 3 4 2 6 2 2" xfId="464"/>
    <cellStyle name="標準 3 4 2 6 3" xfId="465"/>
    <cellStyle name="標準 3 4 2 6 3 2" xfId="466"/>
    <cellStyle name="標準 3 4 2 6 4" xfId="467"/>
    <cellStyle name="標準 3 4 2 7" xfId="468"/>
    <cellStyle name="標準 3 4 2 7 2" xfId="469"/>
    <cellStyle name="標準 3 4 2 7 2 2" xfId="470"/>
    <cellStyle name="標準 3 4 2 7 3" xfId="471"/>
    <cellStyle name="標準 3 4 2 7 3 2" xfId="472"/>
    <cellStyle name="標準 3 4 2 7 4" xfId="473"/>
    <cellStyle name="標準 3 4 2 8" xfId="474"/>
    <cellStyle name="標準 3 4 2 8 2" xfId="475"/>
    <cellStyle name="標準 3 4 2 9" xfId="476"/>
    <cellStyle name="標準 3 4 2 9 2" xfId="477"/>
    <cellStyle name="標準 3 4 3" xfId="478"/>
    <cellStyle name="標準 3 4 3 2" xfId="479"/>
    <cellStyle name="標準 3 4 3 2 2" xfId="480"/>
    <cellStyle name="標準 3 4 3 2 2 2" xfId="481"/>
    <cellStyle name="標準 3 4 3 2 2 2 2" xfId="482"/>
    <cellStyle name="標準 3 4 3 2 2 3" xfId="483"/>
    <cellStyle name="標準 3 4 3 2 2 3 2" xfId="484"/>
    <cellStyle name="標準 3 4 3 2 2 4" xfId="485"/>
    <cellStyle name="標準 3 4 3 2 3" xfId="486"/>
    <cellStyle name="標準 3 4 3 2 3 2" xfId="487"/>
    <cellStyle name="標準 3 4 3 2 3 2 2" xfId="488"/>
    <cellStyle name="標準 3 4 3 2 3 3" xfId="489"/>
    <cellStyle name="標準 3 4 3 2 3 3 2" xfId="490"/>
    <cellStyle name="標準 3 4 3 2 3 4" xfId="491"/>
    <cellStyle name="標準 3 4 3 2 4" xfId="492"/>
    <cellStyle name="標準 3 4 3 2 4 2" xfId="493"/>
    <cellStyle name="標準 3 4 3 2 4 2 2" xfId="494"/>
    <cellStyle name="標準 3 4 3 2 4 3" xfId="495"/>
    <cellStyle name="標準 3 4 3 2 4 3 2" xfId="496"/>
    <cellStyle name="標準 3 4 3 2 4 4" xfId="497"/>
    <cellStyle name="標準 3 4 3 2 5" xfId="498"/>
    <cellStyle name="標準 3 4 3 2 5 2" xfId="499"/>
    <cellStyle name="標準 3 4 3 2 6" xfId="500"/>
    <cellStyle name="標準 3 4 3 2 6 2" xfId="501"/>
    <cellStyle name="標準 3 4 3 2 7" xfId="502"/>
    <cellStyle name="標準 3 4 3 2 7 2" xfId="503"/>
    <cellStyle name="標準 3 4 3 2 8" xfId="504"/>
    <cellStyle name="標準 3 4 3 3" xfId="505"/>
    <cellStyle name="標準 3 4 3 3 2" xfId="506"/>
    <cellStyle name="標準 3 4 3 3 2 2" xfId="507"/>
    <cellStyle name="標準 3 4 3 3 3" xfId="508"/>
    <cellStyle name="標準 3 4 3 3 3 2" xfId="509"/>
    <cellStyle name="標準 3 4 3 3 4" xfId="510"/>
    <cellStyle name="標準 3 4 3 4" xfId="511"/>
    <cellStyle name="標準 3 4 3 4 2" xfId="512"/>
    <cellStyle name="標準 3 4 3 4 2 2" xfId="513"/>
    <cellStyle name="標準 3 4 3 4 3" xfId="514"/>
    <cellStyle name="標準 3 4 3 4 3 2" xfId="515"/>
    <cellStyle name="標準 3 4 3 4 4" xfId="516"/>
    <cellStyle name="標準 3 4 3 5" xfId="517"/>
    <cellStyle name="標準 3 4 3 5 2" xfId="518"/>
    <cellStyle name="標準 3 4 3 5 2 2" xfId="519"/>
    <cellStyle name="標準 3 4 3 5 3" xfId="520"/>
    <cellStyle name="標準 3 4 3 5 3 2" xfId="521"/>
    <cellStyle name="標準 3 4 3 5 4" xfId="522"/>
    <cellStyle name="標準 3 4 3 6" xfId="523"/>
    <cellStyle name="標準 3 4 3 6 2" xfId="524"/>
    <cellStyle name="標準 3 4 3 7" xfId="525"/>
    <cellStyle name="標準 3 4 3 7 2" xfId="526"/>
    <cellStyle name="標準 3 4 3 8" xfId="527"/>
    <cellStyle name="標準 3 4 3 8 2" xfId="528"/>
    <cellStyle name="標準 3 4 3 9" xfId="529"/>
    <cellStyle name="標準 3 4 4" xfId="530"/>
    <cellStyle name="標準 3 4 4 2" xfId="531"/>
    <cellStyle name="標準 3 4 4 2 2" xfId="532"/>
    <cellStyle name="標準 3 4 4 2 2 2" xfId="533"/>
    <cellStyle name="標準 3 4 4 2 2 2 2" xfId="534"/>
    <cellStyle name="標準 3 4 4 2 2 3" xfId="535"/>
    <cellStyle name="標準 3 4 4 2 2 3 2" xfId="536"/>
    <cellStyle name="標準 3 4 4 2 2 4" xfId="537"/>
    <cellStyle name="標準 3 4 4 2 3" xfId="538"/>
    <cellStyle name="標準 3 4 4 2 3 2" xfId="539"/>
    <cellStyle name="標準 3 4 4 2 3 2 2" xfId="540"/>
    <cellStyle name="標準 3 4 4 2 3 3" xfId="541"/>
    <cellStyle name="標準 3 4 4 2 3 3 2" xfId="542"/>
    <cellStyle name="標準 3 4 4 2 3 4" xfId="543"/>
    <cellStyle name="標準 3 4 4 2 4" xfId="544"/>
    <cellStyle name="標準 3 4 4 2 4 2" xfId="545"/>
    <cellStyle name="標準 3 4 4 2 4 2 2" xfId="546"/>
    <cellStyle name="標準 3 4 4 2 4 3" xfId="547"/>
    <cellStyle name="標準 3 4 4 2 4 3 2" xfId="548"/>
    <cellStyle name="標準 3 4 4 2 4 4" xfId="549"/>
    <cellStyle name="標準 3 4 4 2 5" xfId="550"/>
    <cellStyle name="標準 3 4 4 2 5 2" xfId="551"/>
    <cellStyle name="標準 3 4 4 2 6" xfId="552"/>
    <cellStyle name="標準 3 4 4 2 6 2" xfId="553"/>
    <cellStyle name="標準 3 4 4 2 7" xfId="554"/>
    <cellStyle name="標準 3 4 4 2 7 2" xfId="555"/>
    <cellStyle name="標準 3 4 4 2 8" xfId="556"/>
    <cellStyle name="標準 3 4 4 3" xfId="557"/>
    <cellStyle name="標準 3 4 4 3 2" xfId="558"/>
    <cellStyle name="標準 3 4 4 3 2 2" xfId="559"/>
    <cellStyle name="標準 3 4 4 3 3" xfId="560"/>
    <cellStyle name="標準 3 4 4 3 3 2" xfId="561"/>
    <cellStyle name="標準 3 4 4 3 4" xfId="562"/>
    <cellStyle name="標準 3 4 4 4" xfId="563"/>
    <cellStyle name="標準 3 4 4 4 2" xfId="564"/>
    <cellStyle name="標準 3 4 4 4 2 2" xfId="565"/>
    <cellStyle name="標準 3 4 4 4 3" xfId="566"/>
    <cellStyle name="標準 3 4 4 4 3 2" xfId="567"/>
    <cellStyle name="標準 3 4 4 4 4" xfId="568"/>
    <cellStyle name="標準 3 4 4 5" xfId="569"/>
    <cellStyle name="標準 3 4 4 5 2" xfId="570"/>
    <cellStyle name="標準 3 4 4 5 2 2" xfId="571"/>
    <cellStyle name="標準 3 4 4 5 3" xfId="572"/>
    <cellStyle name="標準 3 4 4 5 3 2" xfId="573"/>
    <cellStyle name="標準 3 4 4 5 4" xfId="574"/>
    <cellStyle name="標準 3 4 4 6" xfId="575"/>
    <cellStyle name="標準 3 4 4 6 2" xfId="576"/>
    <cellStyle name="標準 3 4 4 7" xfId="577"/>
    <cellStyle name="標準 3 4 4 7 2" xfId="578"/>
    <cellStyle name="標準 3 4 4 8" xfId="579"/>
    <cellStyle name="標準 3 4 4 8 2" xfId="580"/>
    <cellStyle name="標準 3 4 4 9" xfId="581"/>
    <cellStyle name="標準 3 4 5" xfId="582"/>
    <cellStyle name="標準 3 4 5 2" xfId="583"/>
    <cellStyle name="標準 3 4 5 2 2" xfId="584"/>
    <cellStyle name="標準 3 4 5 2 2 2" xfId="585"/>
    <cellStyle name="標準 3 4 5 2 3" xfId="586"/>
    <cellStyle name="標準 3 4 5 2 3 2" xfId="587"/>
    <cellStyle name="標準 3 4 5 2 4" xfId="588"/>
    <cellStyle name="標準 3 4 5 3" xfId="589"/>
    <cellStyle name="標準 3 4 5 3 2" xfId="590"/>
    <cellStyle name="標準 3 4 5 3 2 2" xfId="591"/>
    <cellStyle name="標準 3 4 5 3 3" xfId="592"/>
    <cellStyle name="標準 3 4 5 3 3 2" xfId="593"/>
    <cellStyle name="標準 3 4 5 3 4" xfId="594"/>
    <cellStyle name="標準 3 4 5 4" xfId="595"/>
    <cellStyle name="標準 3 4 5 4 2" xfId="596"/>
    <cellStyle name="標準 3 4 5 4 2 2" xfId="597"/>
    <cellStyle name="標準 3 4 5 4 3" xfId="598"/>
    <cellStyle name="標準 3 4 5 4 3 2" xfId="599"/>
    <cellStyle name="標準 3 4 5 4 4" xfId="600"/>
    <cellStyle name="標準 3 4 5 5" xfId="601"/>
    <cellStyle name="標準 3 4 5 5 2" xfId="602"/>
    <cellStyle name="標準 3 4 5 6" xfId="603"/>
    <cellStyle name="標準 3 4 5 6 2" xfId="604"/>
    <cellStyle name="標準 3 4 5 7" xfId="605"/>
    <cellStyle name="標準 3 4 5 7 2" xfId="606"/>
    <cellStyle name="標準 3 4 5 8" xfId="607"/>
    <cellStyle name="標準 3 4 6" xfId="608"/>
    <cellStyle name="標準 3 4 6 2" xfId="609"/>
    <cellStyle name="標準 3 4 6 2 2" xfId="610"/>
    <cellStyle name="標準 3 4 6 3" xfId="611"/>
    <cellStyle name="標準 3 4 6 3 2" xfId="612"/>
    <cellStyle name="標準 3 4 6 4" xfId="613"/>
    <cellStyle name="標準 3 4 7" xfId="614"/>
    <cellStyle name="標準 3 4 7 2" xfId="615"/>
    <cellStyle name="標準 3 4 7 2 2" xfId="616"/>
    <cellStyle name="標準 3 4 7 3" xfId="617"/>
    <cellStyle name="標準 3 4 7 3 2" xfId="618"/>
    <cellStyle name="標準 3 4 7 4" xfId="619"/>
    <cellStyle name="標準 3 4 8" xfId="620"/>
    <cellStyle name="標準 3 4 8 2" xfId="621"/>
    <cellStyle name="標準 3 4 8 2 2" xfId="622"/>
    <cellStyle name="標準 3 4 8 3" xfId="623"/>
    <cellStyle name="標準 3 4 8 3 2" xfId="624"/>
    <cellStyle name="標準 3 4 8 4" xfId="625"/>
    <cellStyle name="標準 3 4 9" xfId="626"/>
    <cellStyle name="標準 3 4 9 2" xfId="627"/>
    <cellStyle name="標準 3 5" xfId="628"/>
    <cellStyle name="標準 3 5 10" xfId="629"/>
    <cellStyle name="標準 3 5 10 2" xfId="630"/>
    <cellStyle name="標準 3 5 11" xfId="631"/>
    <cellStyle name="標準 3 5 2" xfId="632"/>
    <cellStyle name="標準 3 5 2 2" xfId="633"/>
    <cellStyle name="標準 3 5 2 2 2" xfId="634"/>
    <cellStyle name="標準 3 5 2 2 2 2" xfId="635"/>
    <cellStyle name="標準 3 5 2 2 2 2 2" xfId="636"/>
    <cellStyle name="標準 3 5 2 2 2 3" xfId="637"/>
    <cellStyle name="標準 3 5 2 2 2 3 2" xfId="638"/>
    <cellStyle name="標準 3 5 2 2 2 4" xfId="639"/>
    <cellStyle name="標準 3 5 2 2 3" xfId="640"/>
    <cellStyle name="標準 3 5 2 2 3 2" xfId="641"/>
    <cellStyle name="標準 3 5 2 2 3 2 2" xfId="642"/>
    <cellStyle name="標準 3 5 2 2 3 3" xfId="643"/>
    <cellStyle name="標準 3 5 2 2 3 3 2" xfId="644"/>
    <cellStyle name="標準 3 5 2 2 3 4" xfId="645"/>
    <cellStyle name="標準 3 5 2 2 4" xfId="646"/>
    <cellStyle name="標準 3 5 2 2 4 2" xfId="647"/>
    <cellStyle name="標準 3 5 2 2 4 2 2" xfId="648"/>
    <cellStyle name="標準 3 5 2 2 4 3" xfId="649"/>
    <cellStyle name="標準 3 5 2 2 4 3 2" xfId="650"/>
    <cellStyle name="標準 3 5 2 2 4 4" xfId="651"/>
    <cellStyle name="標準 3 5 2 2 5" xfId="652"/>
    <cellStyle name="標準 3 5 2 2 5 2" xfId="653"/>
    <cellStyle name="標準 3 5 2 2 6" xfId="654"/>
    <cellStyle name="標準 3 5 2 2 6 2" xfId="655"/>
    <cellStyle name="標準 3 5 2 2 7" xfId="656"/>
    <cellStyle name="標準 3 5 2 2 7 2" xfId="657"/>
    <cellStyle name="標準 3 5 2 2 8" xfId="658"/>
    <cellStyle name="標準 3 5 2 3" xfId="659"/>
    <cellStyle name="標準 3 5 2 3 2" xfId="660"/>
    <cellStyle name="標準 3 5 2 3 2 2" xfId="661"/>
    <cellStyle name="標準 3 5 2 3 3" xfId="662"/>
    <cellStyle name="標準 3 5 2 3 3 2" xfId="663"/>
    <cellStyle name="標準 3 5 2 3 4" xfId="664"/>
    <cellStyle name="標準 3 5 2 4" xfId="665"/>
    <cellStyle name="標準 3 5 2 4 2" xfId="666"/>
    <cellStyle name="標準 3 5 2 4 2 2" xfId="667"/>
    <cellStyle name="標準 3 5 2 4 3" xfId="668"/>
    <cellStyle name="標準 3 5 2 4 3 2" xfId="669"/>
    <cellStyle name="標準 3 5 2 4 4" xfId="670"/>
    <cellStyle name="標準 3 5 2 5" xfId="671"/>
    <cellStyle name="標準 3 5 2 5 2" xfId="672"/>
    <cellStyle name="標準 3 5 2 5 2 2" xfId="673"/>
    <cellStyle name="標準 3 5 2 5 3" xfId="674"/>
    <cellStyle name="標準 3 5 2 5 3 2" xfId="675"/>
    <cellStyle name="標準 3 5 2 5 4" xfId="676"/>
    <cellStyle name="標準 3 5 2 6" xfId="677"/>
    <cellStyle name="標準 3 5 2 6 2" xfId="678"/>
    <cellStyle name="標準 3 5 2 7" xfId="679"/>
    <cellStyle name="標準 3 5 2 7 2" xfId="680"/>
    <cellStyle name="標準 3 5 2 8" xfId="681"/>
    <cellStyle name="標準 3 5 2 8 2" xfId="682"/>
    <cellStyle name="標準 3 5 2 9" xfId="683"/>
    <cellStyle name="標準 3 5 3" xfId="684"/>
    <cellStyle name="標準 3 5 3 2" xfId="685"/>
    <cellStyle name="標準 3 5 3 2 2" xfId="686"/>
    <cellStyle name="標準 3 5 3 2 2 2" xfId="687"/>
    <cellStyle name="標準 3 5 3 2 2 2 2" xfId="688"/>
    <cellStyle name="標準 3 5 3 2 2 3" xfId="689"/>
    <cellStyle name="標準 3 5 3 2 2 3 2" xfId="690"/>
    <cellStyle name="標準 3 5 3 2 2 4" xfId="691"/>
    <cellStyle name="標準 3 5 3 2 3" xfId="692"/>
    <cellStyle name="標準 3 5 3 2 3 2" xfId="693"/>
    <cellStyle name="標準 3 5 3 2 3 2 2" xfId="694"/>
    <cellStyle name="標準 3 5 3 2 3 3" xfId="695"/>
    <cellStyle name="標準 3 5 3 2 3 3 2" xfId="696"/>
    <cellStyle name="標準 3 5 3 2 3 4" xfId="697"/>
    <cellStyle name="標準 3 5 3 2 4" xfId="698"/>
    <cellStyle name="標準 3 5 3 2 4 2" xfId="699"/>
    <cellStyle name="標準 3 5 3 2 4 2 2" xfId="700"/>
    <cellStyle name="標準 3 5 3 2 4 3" xfId="701"/>
    <cellStyle name="標準 3 5 3 2 4 3 2" xfId="702"/>
    <cellStyle name="標準 3 5 3 2 4 4" xfId="703"/>
    <cellStyle name="標準 3 5 3 2 5" xfId="704"/>
    <cellStyle name="標準 3 5 3 2 5 2" xfId="705"/>
    <cellStyle name="標準 3 5 3 2 6" xfId="706"/>
    <cellStyle name="標準 3 5 3 2 6 2" xfId="707"/>
    <cellStyle name="標準 3 5 3 2 7" xfId="708"/>
    <cellStyle name="標準 3 5 3 2 7 2" xfId="709"/>
    <cellStyle name="標準 3 5 3 2 8" xfId="710"/>
    <cellStyle name="標準 3 5 3 3" xfId="711"/>
    <cellStyle name="標準 3 5 3 3 2" xfId="712"/>
    <cellStyle name="標準 3 5 3 3 2 2" xfId="713"/>
    <cellStyle name="標準 3 5 3 3 3" xfId="714"/>
    <cellStyle name="標準 3 5 3 3 3 2" xfId="715"/>
    <cellStyle name="標準 3 5 3 3 4" xfId="716"/>
    <cellStyle name="標準 3 5 3 4" xfId="717"/>
    <cellStyle name="標準 3 5 3 4 2" xfId="718"/>
    <cellStyle name="標準 3 5 3 4 2 2" xfId="719"/>
    <cellStyle name="標準 3 5 3 4 3" xfId="720"/>
    <cellStyle name="標準 3 5 3 4 3 2" xfId="721"/>
    <cellStyle name="標準 3 5 3 4 4" xfId="722"/>
    <cellStyle name="標準 3 5 3 5" xfId="723"/>
    <cellStyle name="標準 3 5 3 5 2" xfId="724"/>
    <cellStyle name="標準 3 5 3 5 2 2" xfId="725"/>
    <cellStyle name="標準 3 5 3 5 3" xfId="726"/>
    <cellStyle name="標準 3 5 3 5 3 2" xfId="727"/>
    <cellStyle name="標準 3 5 3 5 4" xfId="728"/>
    <cellStyle name="標準 3 5 3 6" xfId="729"/>
    <cellStyle name="標準 3 5 3 6 2" xfId="730"/>
    <cellStyle name="標準 3 5 3 7" xfId="731"/>
    <cellStyle name="標準 3 5 3 7 2" xfId="732"/>
    <cellStyle name="標準 3 5 3 8" xfId="733"/>
    <cellStyle name="標準 3 5 3 8 2" xfId="734"/>
    <cellStyle name="標準 3 5 3 9" xfId="735"/>
    <cellStyle name="標準 3 5 4" xfId="736"/>
    <cellStyle name="標準 3 5 4 2" xfId="737"/>
    <cellStyle name="標準 3 5 4 2 2" xfId="738"/>
    <cellStyle name="標準 3 5 4 2 2 2" xfId="739"/>
    <cellStyle name="標準 3 5 4 2 3" xfId="740"/>
    <cellStyle name="標準 3 5 4 2 3 2" xfId="741"/>
    <cellStyle name="標準 3 5 4 2 4" xfId="742"/>
    <cellStyle name="標準 3 5 4 3" xfId="743"/>
    <cellStyle name="標準 3 5 4 3 2" xfId="744"/>
    <cellStyle name="標準 3 5 4 3 2 2" xfId="745"/>
    <cellStyle name="標準 3 5 4 3 3" xfId="746"/>
    <cellStyle name="標準 3 5 4 3 3 2" xfId="747"/>
    <cellStyle name="標準 3 5 4 3 4" xfId="748"/>
    <cellStyle name="標準 3 5 4 4" xfId="749"/>
    <cellStyle name="標準 3 5 4 4 2" xfId="750"/>
    <cellStyle name="標準 3 5 4 4 2 2" xfId="751"/>
    <cellStyle name="標準 3 5 4 4 3" xfId="752"/>
    <cellStyle name="標準 3 5 4 4 3 2" xfId="753"/>
    <cellStyle name="標準 3 5 4 4 4" xfId="754"/>
    <cellStyle name="標準 3 5 4 5" xfId="755"/>
    <cellStyle name="標準 3 5 4 5 2" xfId="756"/>
    <cellStyle name="標準 3 5 4 6" xfId="757"/>
    <cellStyle name="標準 3 5 4 6 2" xfId="758"/>
    <cellStyle name="標準 3 5 4 7" xfId="759"/>
    <cellStyle name="標準 3 5 4 7 2" xfId="760"/>
    <cellStyle name="標準 3 5 4 8" xfId="761"/>
    <cellStyle name="標準 3 5 5" xfId="762"/>
    <cellStyle name="標準 3 5 5 2" xfId="763"/>
    <cellStyle name="標準 3 5 5 2 2" xfId="764"/>
    <cellStyle name="標準 3 5 5 3" xfId="765"/>
    <cellStyle name="標準 3 5 5 3 2" xfId="766"/>
    <cellStyle name="標準 3 5 5 4" xfId="767"/>
    <cellStyle name="標準 3 5 6" xfId="768"/>
    <cellStyle name="標準 3 5 6 2" xfId="769"/>
    <cellStyle name="標準 3 5 6 2 2" xfId="770"/>
    <cellStyle name="標準 3 5 6 3" xfId="771"/>
    <cellStyle name="標準 3 5 6 3 2" xfId="772"/>
    <cellStyle name="標準 3 5 6 4" xfId="773"/>
    <cellStyle name="標準 3 5 7" xfId="774"/>
    <cellStyle name="標準 3 5 7 2" xfId="775"/>
    <cellStyle name="標準 3 5 7 2 2" xfId="776"/>
    <cellStyle name="標準 3 5 7 3" xfId="777"/>
    <cellStyle name="標準 3 5 7 3 2" xfId="778"/>
    <cellStyle name="標準 3 5 7 4" xfId="779"/>
    <cellStyle name="標準 3 5 8" xfId="780"/>
    <cellStyle name="標準 3 5 8 2" xfId="781"/>
    <cellStyle name="標準 3 5 9" xfId="782"/>
    <cellStyle name="標準 3 5 9 2" xfId="783"/>
    <cellStyle name="標準 3 6" xfId="784"/>
    <cellStyle name="標準 3 6 10" xfId="785"/>
    <cellStyle name="標準 3 6 10 2" xfId="786"/>
    <cellStyle name="標準 3 6 11" xfId="787"/>
    <cellStyle name="標準 3 6 2" xfId="788"/>
    <cellStyle name="標準 3 6 2 2" xfId="789"/>
    <cellStyle name="標準 3 6 2 2 2" xfId="790"/>
    <cellStyle name="標準 3 6 2 2 2 2" xfId="791"/>
    <cellStyle name="標準 3 6 2 2 2 2 2" xfId="792"/>
    <cellStyle name="標準 3 6 2 2 2 3" xfId="793"/>
    <cellStyle name="標準 3 6 2 2 2 3 2" xfId="794"/>
    <cellStyle name="標準 3 6 2 2 2 4" xfId="795"/>
    <cellStyle name="標準 3 6 2 2 3" xfId="796"/>
    <cellStyle name="標準 3 6 2 2 3 2" xfId="797"/>
    <cellStyle name="標準 3 6 2 2 3 2 2" xfId="798"/>
    <cellStyle name="標準 3 6 2 2 3 3" xfId="799"/>
    <cellStyle name="標準 3 6 2 2 3 3 2" xfId="800"/>
    <cellStyle name="標準 3 6 2 2 3 4" xfId="801"/>
    <cellStyle name="標準 3 6 2 2 4" xfId="802"/>
    <cellStyle name="標準 3 6 2 2 4 2" xfId="803"/>
    <cellStyle name="標準 3 6 2 2 4 2 2" xfId="804"/>
    <cellStyle name="標準 3 6 2 2 4 3" xfId="805"/>
    <cellStyle name="標準 3 6 2 2 4 3 2" xfId="806"/>
    <cellStyle name="標準 3 6 2 2 4 4" xfId="807"/>
    <cellStyle name="標準 3 6 2 2 5" xfId="808"/>
    <cellStyle name="標準 3 6 2 2 5 2" xfId="809"/>
    <cellStyle name="標準 3 6 2 2 6" xfId="810"/>
    <cellStyle name="標準 3 6 2 2 6 2" xfId="811"/>
    <cellStyle name="標準 3 6 2 2 7" xfId="812"/>
    <cellStyle name="標準 3 6 2 2 7 2" xfId="813"/>
    <cellStyle name="標準 3 6 2 2 8" xfId="814"/>
    <cellStyle name="標準 3 6 2 3" xfId="815"/>
    <cellStyle name="標準 3 6 2 3 2" xfId="816"/>
    <cellStyle name="標準 3 6 2 3 2 2" xfId="817"/>
    <cellStyle name="標準 3 6 2 3 3" xfId="818"/>
    <cellStyle name="標準 3 6 2 3 3 2" xfId="819"/>
    <cellStyle name="標準 3 6 2 3 4" xfId="820"/>
    <cellStyle name="標準 3 6 2 4" xfId="821"/>
    <cellStyle name="標準 3 6 2 4 2" xfId="822"/>
    <cellStyle name="標準 3 6 2 4 2 2" xfId="823"/>
    <cellStyle name="標準 3 6 2 4 3" xfId="824"/>
    <cellStyle name="標準 3 6 2 4 3 2" xfId="825"/>
    <cellStyle name="標準 3 6 2 4 4" xfId="826"/>
    <cellStyle name="標準 3 6 2 5" xfId="827"/>
    <cellStyle name="標準 3 6 2 5 2" xfId="828"/>
    <cellStyle name="標準 3 6 2 5 2 2" xfId="829"/>
    <cellStyle name="標準 3 6 2 5 3" xfId="830"/>
    <cellStyle name="標準 3 6 2 5 3 2" xfId="831"/>
    <cellStyle name="標準 3 6 2 5 4" xfId="832"/>
    <cellStyle name="標準 3 6 2 6" xfId="833"/>
    <cellStyle name="標準 3 6 2 6 2" xfId="834"/>
    <cellStyle name="標準 3 6 2 7" xfId="835"/>
    <cellStyle name="標準 3 6 2 7 2" xfId="836"/>
    <cellStyle name="標準 3 6 2 8" xfId="837"/>
    <cellStyle name="標準 3 6 2 8 2" xfId="838"/>
    <cellStyle name="標準 3 6 2 9" xfId="839"/>
    <cellStyle name="標準 3 6 3" xfId="840"/>
    <cellStyle name="標準 3 6 3 2" xfId="841"/>
    <cellStyle name="標準 3 6 3 2 2" xfId="842"/>
    <cellStyle name="標準 3 6 3 2 2 2" xfId="843"/>
    <cellStyle name="標準 3 6 3 2 2 2 2" xfId="844"/>
    <cellStyle name="標準 3 6 3 2 2 3" xfId="845"/>
    <cellStyle name="標準 3 6 3 2 2 3 2" xfId="846"/>
    <cellStyle name="標準 3 6 3 2 2 4" xfId="847"/>
    <cellStyle name="標準 3 6 3 2 3" xfId="848"/>
    <cellStyle name="標準 3 6 3 2 3 2" xfId="849"/>
    <cellStyle name="標準 3 6 3 2 3 2 2" xfId="850"/>
    <cellStyle name="標準 3 6 3 2 3 3" xfId="851"/>
    <cellStyle name="標準 3 6 3 2 3 3 2" xfId="852"/>
    <cellStyle name="標準 3 6 3 2 3 4" xfId="853"/>
    <cellStyle name="標準 3 6 3 2 4" xfId="854"/>
    <cellStyle name="標準 3 6 3 2 4 2" xfId="855"/>
    <cellStyle name="標準 3 6 3 2 4 2 2" xfId="856"/>
    <cellStyle name="標準 3 6 3 2 4 3" xfId="857"/>
    <cellStyle name="標準 3 6 3 2 4 3 2" xfId="858"/>
    <cellStyle name="標準 3 6 3 2 4 4" xfId="859"/>
    <cellStyle name="標準 3 6 3 2 5" xfId="860"/>
    <cellStyle name="標準 3 6 3 2 5 2" xfId="861"/>
    <cellStyle name="標準 3 6 3 2 6" xfId="862"/>
    <cellStyle name="標準 3 6 3 2 6 2" xfId="863"/>
    <cellStyle name="標準 3 6 3 2 7" xfId="864"/>
    <cellStyle name="標準 3 6 3 2 7 2" xfId="865"/>
    <cellStyle name="標準 3 6 3 2 8" xfId="866"/>
    <cellStyle name="標準 3 6 3 3" xfId="867"/>
    <cellStyle name="標準 3 6 3 3 2" xfId="868"/>
    <cellStyle name="標準 3 6 3 3 2 2" xfId="869"/>
    <cellStyle name="標準 3 6 3 3 3" xfId="870"/>
    <cellStyle name="標準 3 6 3 3 3 2" xfId="871"/>
    <cellStyle name="標準 3 6 3 3 4" xfId="872"/>
    <cellStyle name="標準 3 6 3 4" xfId="873"/>
    <cellStyle name="標準 3 6 3 4 2" xfId="874"/>
    <cellStyle name="標準 3 6 3 4 2 2" xfId="875"/>
    <cellStyle name="標準 3 6 3 4 3" xfId="876"/>
    <cellStyle name="標準 3 6 3 4 3 2" xfId="877"/>
    <cellStyle name="標準 3 6 3 4 4" xfId="878"/>
    <cellStyle name="標準 3 6 3 5" xfId="879"/>
    <cellStyle name="標準 3 6 3 5 2" xfId="880"/>
    <cellStyle name="標準 3 6 3 5 2 2" xfId="881"/>
    <cellStyle name="標準 3 6 3 5 3" xfId="882"/>
    <cellStyle name="標準 3 6 3 5 3 2" xfId="883"/>
    <cellStyle name="標準 3 6 3 5 4" xfId="884"/>
    <cellStyle name="標準 3 6 3 6" xfId="885"/>
    <cellStyle name="標準 3 6 3 6 2" xfId="886"/>
    <cellStyle name="標準 3 6 3 7" xfId="887"/>
    <cellStyle name="標準 3 6 3 7 2" xfId="888"/>
    <cellStyle name="標準 3 6 3 8" xfId="889"/>
    <cellStyle name="標準 3 6 3 8 2" xfId="890"/>
    <cellStyle name="標準 3 6 3 9" xfId="891"/>
    <cellStyle name="標準 3 6 4" xfId="892"/>
    <cellStyle name="標準 3 6 4 2" xfId="893"/>
    <cellStyle name="標準 3 6 4 2 2" xfId="894"/>
    <cellStyle name="標準 3 6 4 2 2 2" xfId="895"/>
    <cellStyle name="標準 3 6 4 2 3" xfId="896"/>
    <cellStyle name="標準 3 6 4 2 3 2" xfId="897"/>
    <cellStyle name="標準 3 6 4 2 4" xfId="898"/>
    <cellStyle name="標準 3 6 4 3" xfId="899"/>
    <cellStyle name="標準 3 6 4 3 2" xfId="900"/>
    <cellStyle name="標準 3 6 4 3 2 2" xfId="901"/>
    <cellStyle name="標準 3 6 4 3 3" xfId="902"/>
    <cellStyle name="標準 3 6 4 3 3 2" xfId="903"/>
    <cellStyle name="標準 3 6 4 3 4" xfId="904"/>
    <cellStyle name="標準 3 6 4 4" xfId="905"/>
    <cellStyle name="標準 3 6 4 4 2" xfId="906"/>
    <cellStyle name="標準 3 6 4 4 2 2" xfId="907"/>
    <cellStyle name="標準 3 6 4 4 3" xfId="908"/>
    <cellStyle name="標準 3 6 4 4 3 2" xfId="909"/>
    <cellStyle name="標準 3 6 4 4 4" xfId="910"/>
    <cellStyle name="標準 3 6 4 5" xfId="911"/>
    <cellStyle name="標準 3 6 4 5 2" xfId="912"/>
    <cellStyle name="標準 3 6 4 6" xfId="913"/>
    <cellStyle name="標準 3 6 4 6 2" xfId="914"/>
    <cellStyle name="標準 3 6 4 7" xfId="915"/>
    <cellStyle name="標準 3 6 4 7 2" xfId="916"/>
    <cellStyle name="標準 3 6 4 8" xfId="917"/>
    <cellStyle name="標準 3 6 5" xfId="918"/>
    <cellStyle name="標準 3 6 5 2" xfId="919"/>
    <cellStyle name="標準 3 6 5 2 2" xfId="920"/>
    <cellStyle name="標準 3 6 5 3" xfId="921"/>
    <cellStyle name="標準 3 6 5 3 2" xfId="922"/>
    <cellStyle name="標準 3 6 5 4" xfId="923"/>
    <cellStyle name="標準 3 6 6" xfId="924"/>
    <cellStyle name="標準 3 6 6 2" xfId="925"/>
    <cellStyle name="標準 3 6 6 2 2" xfId="926"/>
    <cellStyle name="標準 3 6 6 3" xfId="927"/>
    <cellStyle name="標準 3 6 6 3 2" xfId="928"/>
    <cellStyle name="標準 3 6 6 4" xfId="929"/>
    <cellStyle name="標準 3 6 7" xfId="930"/>
    <cellStyle name="標準 3 6 7 2" xfId="931"/>
    <cellStyle name="標準 3 6 7 2 2" xfId="932"/>
    <cellStyle name="標準 3 6 7 3" xfId="933"/>
    <cellStyle name="標準 3 6 7 3 2" xfId="934"/>
    <cellStyle name="標準 3 6 7 4" xfId="935"/>
    <cellStyle name="標準 3 6 8" xfId="936"/>
    <cellStyle name="標準 3 6 8 2" xfId="937"/>
    <cellStyle name="標準 3 6 9" xfId="938"/>
    <cellStyle name="標準 3 6 9 2" xfId="939"/>
    <cellStyle name="標準 3 7" xfId="940"/>
    <cellStyle name="標準 3 8" xfId="941"/>
    <cellStyle name="標準 3 8 2" xfId="942"/>
    <cellStyle name="標準 3 9" xfId="943"/>
    <cellStyle name="標準 3_2610500-001 65期設備改修工事（減額含む見積書）P-5-1追加" xfId="944"/>
    <cellStyle name="標準 4" xfId="945"/>
    <cellStyle name="標準 4 2" xfId="946"/>
    <cellStyle name="標準 4 2 2" xfId="947"/>
    <cellStyle name="標準 4 2 3" xfId="948"/>
    <cellStyle name="標準 4 2 3 2" xfId="949"/>
    <cellStyle name="標準 4 2 4" xfId="950"/>
    <cellStyle name="標準 4 3" xfId="951"/>
    <cellStyle name="標準 4 3 2" xfId="952"/>
    <cellStyle name="標準 4 3 3" xfId="953"/>
    <cellStyle name="標準 4 3 3 2" xfId="954"/>
    <cellStyle name="標準 4 3 4" xfId="955"/>
    <cellStyle name="標準 4 4" xfId="956"/>
    <cellStyle name="標準 4 4 10" xfId="957"/>
    <cellStyle name="標準 4 4 10 2" xfId="958"/>
    <cellStyle name="標準 4 4 11" xfId="959"/>
    <cellStyle name="標準 4 4 2" xfId="960"/>
    <cellStyle name="標準 4 4 2 2" xfId="961"/>
    <cellStyle name="標準 4 4 2 2 2" xfId="962"/>
    <cellStyle name="標準 4 4 2 2 2 2" xfId="963"/>
    <cellStyle name="標準 4 4 2 2 2 2 2" xfId="964"/>
    <cellStyle name="標準 4 4 2 2 2 3" xfId="965"/>
    <cellStyle name="標準 4 4 2 2 2 3 2" xfId="966"/>
    <cellStyle name="標準 4 4 2 2 2 4" xfId="967"/>
    <cellStyle name="標準 4 4 2 2 3" xfId="968"/>
    <cellStyle name="標準 4 4 2 2 3 2" xfId="969"/>
    <cellStyle name="標準 4 4 2 2 3 2 2" xfId="970"/>
    <cellStyle name="標準 4 4 2 2 3 3" xfId="971"/>
    <cellStyle name="標準 4 4 2 2 3 3 2" xfId="972"/>
    <cellStyle name="標準 4 4 2 2 3 4" xfId="973"/>
    <cellStyle name="標準 4 4 2 2 4" xfId="974"/>
    <cellStyle name="標準 4 4 2 2 4 2" xfId="975"/>
    <cellStyle name="標準 4 4 2 2 4 2 2" xfId="976"/>
    <cellStyle name="標準 4 4 2 2 4 3" xfId="977"/>
    <cellStyle name="標準 4 4 2 2 4 3 2" xfId="978"/>
    <cellStyle name="標準 4 4 2 2 4 4" xfId="979"/>
    <cellStyle name="標準 4 4 2 2 5" xfId="980"/>
    <cellStyle name="標準 4 4 2 2 5 2" xfId="981"/>
    <cellStyle name="標準 4 4 2 2 6" xfId="982"/>
    <cellStyle name="標準 4 4 2 2 6 2" xfId="983"/>
    <cellStyle name="標準 4 4 2 2 7" xfId="984"/>
    <cellStyle name="標準 4 4 2 2 7 2" xfId="985"/>
    <cellStyle name="標準 4 4 2 2 8" xfId="986"/>
    <cellStyle name="標準 4 4 2 3" xfId="987"/>
    <cellStyle name="標準 4 4 2 3 2" xfId="988"/>
    <cellStyle name="標準 4 4 2 3 2 2" xfId="989"/>
    <cellStyle name="標準 4 4 2 3 3" xfId="990"/>
    <cellStyle name="標準 4 4 2 3 3 2" xfId="991"/>
    <cellStyle name="標準 4 4 2 3 4" xfId="992"/>
    <cellStyle name="標準 4 4 2 4" xfId="993"/>
    <cellStyle name="標準 4 4 2 4 2" xfId="994"/>
    <cellStyle name="標準 4 4 2 4 2 2" xfId="995"/>
    <cellStyle name="標準 4 4 2 4 3" xfId="996"/>
    <cellStyle name="標準 4 4 2 4 3 2" xfId="997"/>
    <cellStyle name="標準 4 4 2 4 4" xfId="998"/>
    <cellStyle name="標準 4 4 2 5" xfId="999"/>
    <cellStyle name="標準 4 4 2 5 2" xfId="1000"/>
    <cellStyle name="標準 4 4 2 5 2 2" xfId="1001"/>
    <cellStyle name="標準 4 4 2 5 3" xfId="1002"/>
    <cellStyle name="標準 4 4 2 5 3 2" xfId="1003"/>
    <cellStyle name="標準 4 4 2 5 4" xfId="1004"/>
    <cellStyle name="標準 4 4 2 6" xfId="1005"/>
    <cellStyle name="標準 4 4 2 6 2" xfId="1006"/>
    <cellStyle name="標準 4 4 2 7" xfId="1007"/>
    <cellStyle name="標準 4 4 2 7 2" xfId="1008"/>
    <cellStyle name="標準 4 4 2 8" xfId="1009"/>
    <cellStyle name="標準 4 4 2 8 2" xfId="1010"/>
    <cellStyle name="標準 4 4 2 9" xfId="1011"/>
    <cellStyle name="標準 4 4 3" xfId="1012"/>
    <cellStyle name="標準 4 4 3 2" xfId="1013"/>
    <cellStyle name="標準 4 4 3 2 2" xfId="1014"/>
    <cellStyle name="標準 4 4 3 2 2 2" xfId="1015"/>
    <cellStyle name="標準 4 4 3 2 2 2 2" xfId="1016"/>
    <cellStyle name="標準 4 4 3 2 2 3" xfId="1017"/>
    <cellStyle name="標準 4 4 3 2 2 3 2" xfId="1018"/>
    <cellStyle name="標準 4 4 3 2 2 4" xfId="1019"/>
    <cellStyle name="標準 4 4 3 2 3" xfId="1020"/>
    <cellStyle name="標準 4 4 3 2 3 2" xfId="1021"/>
    <cellStyle name="標準 4 4 3 2 3 2 2" xfId="1022"/>
    <cellStyle name="標準 4 4 3 2 3 3" xfId="1023"/>
    <cellStyle name="標準 4 4 3 2 3 3 2" xfId="1024"/>
    <cellStyle name="標準 4 4 3 2 3 4" xfId="1025"/>
    <cellStyle name="標準 4 4 3 2 4" xfId="1026"/>
    <cellStyle name="標準 4 4 3 2 4 2" xfId="1027"/>
    <cellStyle name="標準 4 4 3 2 4 2 2" xfId="1028"/>
    <cellStyle name="標準 4 4 3 2 4 3" xfId="1029"/>
    <cellStyle name="標準 4 4 3 2 4 3 2" xfId="1030"/>
    <cellStyle name="標準 4 4 3 2 4 4" xfId="1031"/>
    <cellStyle name="標準 4 4 3 2 5" xfId="1032"/>
    <cellStyle name="標準 4 4 3 2 5 2" xfId="1033"/>
    <cellStyle name="標準 4 4 3 2 6" xfId="1034"/>
    <cellStyle name="標準 4 4 3 2 6 2" xfId="1035"/>
    <cellStyle name="標準 4 4 3 2 7" xfId="1036"/>
    <cellStyle name="標準 4 4 3 2 7 2" xfId="1037"/>
    <cellStyle name="標準 4 4 3 2 8" xfId="1038"/>
    <cellStyle name="標準 4 4 3 3" xfId="1039"/>
    <cellStyle name="標準 4 4 3 3 2" xfId="1040"/>
    <cellStyle name="標準 4 4 3 3 2 2" xfId="1041"/>
    <cellStyle name="標準 4 4 3 3 3" xfId="1042"/>
    <cellStyle name="標準 4 4 3 3 3 2" xfId="1043"/>
    <cellStyle name="標準 4 4 3 3 4" xfId="1044"/>
    <cellStyle name="標準 4 4 3 4" xfId="1045"/>
    <cellStyle name="標準 4 4 3 4 2" xfId="1046"/>
    <cellStyle name="標準 4 4 3 4 2 2" xfId="1047"/>
    <cellStyle name="標準 4 4 3 4 3" xfId="1048"/>
    <cellStyle name="標準 4 4 3 4 3 2" xfId="1049"/>
    <cellStyle name="標準 4 4 3 4 4" xfId="1050"/>
    <cellStyle name="標準 4 4 3 5" xfId="1051"/>
    <cellStyle name="標準 4 4 3 5 2" xfId="1052"/>
    <cellStyle name="標準 4 4 3 5 2 2" xfId="1053"/>
    <cellStyle name="標準 4 4 3 5 3" xfId="1054"/>
    <cellStyle name="標準 4 4 3 5 3 2" xfId="1055"/>
    <cellStyle name="標準 4 4 3 5 4" xfId="1056"/>
    <cellStyle name="標準 4 4 3 6" xfId="1057"/>
    <cellStyle name="標準 4 4 3 6 2" xfId="1058"/>
    <cellStyle name="標準 4 4 3 7" xfId="1059"/>
    <cellStyle name="標準 4 4 3 7 2" xfId="1060"/>
    <cellStyle name="標準 4 4 3 8" xfId="1061"/>
    <cellStyle name="標準 4 4 3 8 2" xfId="1062"/>
    <cellStyle name="標準 4 4 3 9" xfId="1063"/>
    <cellStyle name="標準 4 4 4" xfId="1064"/>
    <cellStyle name="標準 4 4 4 2" xfId="1065"/>
    <cellStyle name="標準 4 4 4 2 2" xfId="1066"/>
    <cellStyle name="標準 4 4 4 2 2 2" xfId="1067"/>
    <cellStyle name="標準 4 4 4 2 3" xfId="1068"/>
    <cellStyle name="標準 4 4 4 2 3 2" xfId="1069"/>
    <cellStyle name="標準 4 4 4 2 4" xfId="1070"/>
    <cellStyle name="標準 4 4 4 3" xfId="1071"/>
    <cellStyle name="標準 4 4 4 3 2" xfId="1072"/>
    <cellStyle name="標準 4 4 4 3 2 2" xfId="1073"/>
    <cellStyle name="標準 4 4 4 3 3" xfId="1074"/>
    <cellStyle name="標準 4 4 4 3 3 2" xfId="1075"/>
    <cellStyle name="標準 4 4 4 3 4" xfId="1076"/>
    <cellStyle name="標準 4 4 4 4" xfId="1077"/>
    <cellStyle name="標準 4 4 4 4 2" xfId="1078"/>
    <cellStyle name="標準 4 4 4 4 2 2" xfId="1079"/>
    <cellStyle name="標準 4 4 4 4 3" xfId="1080"/>
    <cellStyle name="標準 4 4 4 4 3 2" xfId="1081"/>
    <cellStyle name="標準 4 4 4 4 4" xfId="1082"/>
    <cellStyle name="標準 4 4 4 5" xfId="1083"/>
    <cellStyle name="標準 4 4 4 5 2" xfId="1084"/>
    <cellStyle name="標準 4 4 4 6" xfId="1085"/>
    <cellStyle name="標準 4 4 4 6 2" xfId="1086"/>
    <cellStyle name="標準 4 4 4 7" xfId="1087"/>
    <cellStyle name="標準 4 4 4 7 2" xfId="1088"/>
    <cellStyle name="標準 4 4 4 8" xfId="1089"/>
    <cellStyle name="標準 4 4 5" xfId="1090"/>
    <cellStyle name="標準 4 4 5 2" xfId="1091"/>
    <cellStyle name="標準 4 4 5 2 2" xfId="1092"/>
    <cellStyle name="標準 4 4 5 3" xfId="1093"/>
    <cellStyle name="標準 4 4 5 3 2" xfId="1094"/>
    <cellStyle name="標準 4 4 5 4" xfId="1095"/>
    <cellStyle name="標準 4 4 6" xfId="1096"/>
    <cellStyle name="標準 4 4 6 2" xfId="1097"/>
    <cellStyle name="標準 4 4 6 2 2" xfId="1098"/>
    <cellStyle name="標準 4 4 6 3" xfId="1099"/>
    <cellStyle name="標準 4 4 6 3 2" xfId="1100"/>
    <cellStyle name="標準 4 4 6 4" xfId="1101"/>
    <cellStyle name="標準 4 4 7" xfId="1102"/>
    <cellStyle name="標準 4 4 7 2" xfId="1103"/>
    <cellStyle name="標準 4 4 7 2 2" xfId="1104"/>
    <cellStyle name="標準 4 4 7 3" xfId="1105"/>
    <cellStyle name="標準 4 4 7 3 2" xfId="1106"/>
    <cellStyle name="標準 4 4 7 4" xfId="1107"/>
    <cellStyle name="標準 4 4 8" xfId="1108"/>
    <cellStyle name="標準 4 4 8 2" xfId="1109"/>
    <cellStyle name="標準 4 4 9" xfId="1110"/>
    <cellStyle name="標準 4 4 9 2" xfId="1111"/>
    <cellStyle name="標準 4 5" xfId="1112"/>
    <cellStyle name="標準 4 5 10" xfId="1113"/>
    <cellStyle name="標準 4 5 10 2" xfId="1114"/>
    <cellStyle name="標準 4 5 11" xfId="1115"/>
    <cellStyle name="標準 4 5 2" xfId="1116"/>
    <cellStyle name="標準 4 5 2 2" xfId="1117"/>
    <cellStyle name="標準 4 5 2 2 2" xfId="1118"/>
    <cellStyle name="標準 4 5 2 2 2 2" xfId="1119"/>
    <cellStyle name="標準 4 5 2 2 2 2 2" xfId="1120"/>
    <cellStyle name="標準 4 5 2 2 2 3" xfId="1121"/>
    <cellStyle name="標準 4 5 2 2 2 3 2" xfId="1122"/>
    <cellStyle name="標準 4 5 2 2 2 4" xfId="1123"/>
    <cellStyle name="標準 4 5 2 2 3" xfId="1124"/>
    <cellStyle name="標準 4 5 2 2 3 2" xfId="1125"/>
    <cellStyle name="標準 4 5 2 2 3 2 2" xfId="1126"/>
    <cellStyle name="標準 4 5 2 2 3 3" xfId="1127"/>
    <cellStyle name="標準 4 5 2 2 3 3 2" xfId="1128"/>
    <cellStyle name="標準 4 5 2 2 3 4" xfId="1129"/>
    <cellStyle name="標準 4 5 2 2 4" xfId="1130"/>
    <cellStyle name="標準 4 5 2 2 4 2" xfId="1131"/>
    <cellStyle name="標準 4 5 2 2 4 2 2" xfId="1132"/>
    <cellStyle name="標準 4 5 2 2 4 3" xfId="1133"/>
    <cellStyle name="標準 4 5 2 2 4 3 2" xfId="1134"/>
    <cellStyle name="標準 4 5 2 2 4 4" xfId="1135"/>
    <cellStyle name="標準 4 5 2 2 5" xfId="1136"/>
    <cellStyle name="標準 4 5 2 2 5 2" xfId="1137"/>
    <cellStyle name="標準 4 5 2 2 6" xfId="1138"/>
    <cellStyle name="標準 4 5 2 2 6 2" xfId="1139"/>
    <cellStyle name="標準 4 5 2 2 7" xfId="1140"/>
    <cellStyle name="標準 4 5 2 2 7 2" xfId="1141"/>
    <cellStyle name="標準 4 5 2 2 8" xfId="1142"/>
    <cellStyle name="標準 4 5 2 3" xfId="1143"/>
    <cellStyle name="標準 4 5 2 3 2" xfId="1144"/>
    <cellStyle name="標準 4 5 2 3 2 2" xfId="1145"/>
    <cellStyle name="標準 4 5 2 3 3" xfId="1146"/>
    <cellStyle name="標準 4 5 2 3 3 2" xfId="1147"/>
    <cellStyle name="標準 4 5 2 3 4" xfId="1148"/>
    <cellStyle name="標準 4 5 2 4" xfId="1149"/>
    <cellStyle name="標準 4 5 2 4 2" xfId="1150"/>
    <cellStyle name="標準 4 5 2 4 2 2" xfId="1151"/>
    <cellStyle name="標準 4 5 2 4 3" xfId="1152"/>
    <cellStyle name="標準 4 5 2 4 3 2" xfId="1153"/>
    <cellStyle name="標準 4 5 2 4 4" xfId="1154"/>
    <cellStyle name="標準 4 5 2 5" xfId="1155"/>
    <cellStyle name="標準 4 5 2 5 2" xfId="1156"/>
    <cellStyle name="標準 4 5 2 5 2 2" xfId="1157"/>
    <cellStyle name="標準 4 5 2 5 3" xfId="1158"/>
    <cellStyle name="標準 4 5 2 5 3 2" xfId="1159"/>
    <cellStyle name="標準 4 5 2 5 4" xfId="1160"/>
    <cellStyle name="標準 4 5 2 6" xfId="1161"/>
    <cellStyle name="標準 4 5 2 6 2" xfId="1162"/>
    <cellStyle name="標準 4 5 2 7" xfId="1163"/>
    <cellStyle name="標準 4 5 2 7 2" xfId="1164"/>
    <cellStyle name="標準 4 5 2 8" xfId="1165"/>
    <cellStyle name="標準 4 5 2 8 2" xfId="1166"/>
    <cellStyle name="標準 4 5 2 9" xfId="1167"/>
    <cellStyle name="標準 4 5 3" xfId="1168"/>
    <cellStyle name="標準 4 5 3 2" xfId="1169"/>
    <cellStyle name="標準 4 5 3 2 2" xfId="1170"/>
    <cellStyle name="標準 4 5 3 2 2 2" xfId="1171"/>
    <cellStyle name="標準 4 5 3 2 2 2 2" xfId="1172"/>
    <cellStyle name="標準 4 5 3 2 2 3" xfId="1173"/>
    <cellStyle name="標準 4 5 3 2 2 3 2" xfId="1174"/>
    <cellStyle name="標準 4 5 3 2 2 4" xfId="1175"/>
    <cellStyle name="標準 4 5 3 2 3" xfId="1176"/>
    <cellStyle name="標準 4 5 3 2 3 2" xfId="1177"/>
    <cellStyle name="標準 4 5 3 2 3 2 2" xfId="1178"/>
    <cellStyle name="標準 4 5 3 2 3 3" xfId="1179"/>
    <cellStyle name="標準 4 5 3 2 3 3 2" xfId="1180"/>
    <cellStyle name="標準 4 5 3 2 3 4" xfId="1181"/>
    <cellStyle name="標準 4 5 3 2 4" xfId="1182"/>
    <cellStyle name="標準 4 5 3 2 4 2" xfId="1183"/>
    <cellStyle name="標準 4 5 3 2 4 2 2" xfId="1184"/>
    <cellStyle name="標準 4 5 3 2 4 3" xfId="1185"/>
    <cellStyle name="標準 4 5 3 2 4 3 2" xfId="1186"/>
    <cellStyle name="標準 4 5 3 2 4 4" xfId="1187"/>
    <cellStyle name="標準 4 5 3 2 5" xfId="1188"/>
    <cellStyle name="標準 4 5 3 2 5 2" xfId="1189"/>
    <cellStyle name="標準 4 5 3 2 6" xfId="1190"/>
    <cellStyle name="標準 4 5 3 2 6 2" xfId="1191"/>
    <cellStyle name="標準 4 5 3 2 7" xfId="1192"/>
    <cellStyle name="標準 4 5 3 2 7 2" xfId="1193"/>
    <cellStyle name="標準 4 5 3 2 8" xfId="1194"/>
    <cellStyle name="標準 4 5 3 3" xfId="1195"/>
    <cellStyle name="標準 4 5 3 3 2" xfId="1196"/>
    <cellStyle name="標準 4 5 3 3 2 2" xfId="1197"/>
    <cellStyle name="標準 4 5 3 3 3" xfId="1198"/>
    <cellStyle name="標準 4 5 3 3 3 2" xfId="1199"/>
    <cellStyle name="標準 4 5 3 3 4" xfId="1200"/>
    <cellStyle name="標準 4 5 3 4" xfId="1201"/>
    <cellStyle name="標準 4 5 3 4 2" xfId="1202"/>
    <cellStyle name="標準 4 5 3 4 2 2" xfId="1203"/>
    <cellStyle name="標準 4 5 3 4 3" xfId="1204"/>
    <cellStyle name="標準 4 5 3 4 3 2" xfId="1205"/>
    <cellStyle name="標準 4 5 3 4 4" xfId="1206"/>
    <cellStyle name="標準 4 5 3 5" xfId="1207"/>
    <cellStyle name="標準 4 5 3 5 2" xfId="1208"/>
    <cellStyle name="標準 4 5 3 5 2 2" xfId="1209"/>
    <cellStyle name="標準 4 5 3 5 3" xfId="1210"/>
    <cellStyle name="標準 4 5 3 5 3 2" xfId="1211"/>
    <cellStyle name="標準 4 5 3 5 4" xfId="1212"/>
    <cellStyle name="標準 4 5 3 6" xfId="1213"/>
    <cellStyle name="標準 4 5 3 6 2" xfId="1214"/>
    <cellStyle name="標準 4 5 3 7" xfId="1215"/>
    <cellStyle name="標準 4 5 3 7 2" xfId="1216"/>
    <cellStyle name="標準 4 5 3 8" xfId="1217"/>
    <cellStyle name="標準 4 5 3 8 2" xfId="1218"/>
    <cellStyle name="標準 4 5 3 9" xfId="1219"/>
    <cellStyle name="標準 4 5 4" xfId="1220"/>
    <cellStyle name="標準 4 5 4 2" xfId="1221"/>
    <cellStyle name="標準 4 5 4 2 2" xfId="1222"/>
    <cellStyle name="標準 4 5 4 2 2 2" xfId="1223"/>
    <cellStyle name="標準 4 5 4 2 3" xfId="1224"/>
    <cellStyle name="標準 4 5 4 2 3 2" xfId="1225"/>
    <cellStyle name="標準 4 5 4 2 4" xfId="1226"/>
    <cellStyle name="標準 4 5 4 3" xfId="1227"/>
    <cellStyle name="標準 4 5 4 3 2" xfId="1228"/>
    <cellStyle name="標準 4 5 4 3 2 2" xfId="1229"/>
    <cellStyle name="標準 4 5 4 3 3" xfId="1230"/>
    <cellStyle name="標準 4 5 4 3 3 2" xfId="1231"/>
    <cellStyle name="標準 4 5 4 3 4" xfId="1232"/>
    <cellStyle name="標準 4 5 4 4" xfId="1233"/>
    <cellStyle name="標準 4 5 4 4 2" xfId="1234"/>
    <cellStyle name="標準 4 5 4 4 2 2" xfId="1235"/>
    <cellStyle name="標準 4 5 4 4 3" xfId="1236"/>
    <cellStyle name="標準 4 5 4 4 3 2" xfId="1237"/>
    <cellStyle name="標準 4 5 4 4 4" xfId="1238"/>
    <cellStyle name="標準 4 5 4 5" xfId="1239"/>
    <cellStyle name="標準 4 5 4 5 2" xfId="1240"/>
    <cellStyle name="標準 4 5 4 6" xfId="1241"/>
    <cellStyle name="標準 4 5 4 6 2" xfId="1242"/>
    <cellStyle name="標準 4 5 4 7" xfId="1243"/>
    <cellStyle name="標準 4 5 4 7 2" xfId="1244"/>
    <cellStyle name="標準 4 5 4 8" xfId="1245"/>
    <cellStyle name="標準 4 5 5" xfId="1246"/>
    <cellStyle name="標準 4 5 5 2" xfId="1247"/>
    <cellStyle name="標準 4 5 5 2 2" xfId="1248"/>
    <cellStyle name="標準 4 5 5 3" xfId="1249"/>
    <cellStyle name="標準 4 5 5 3 2" xfId="1250"/>
    <cellStyle name="標準 4 5 5 4" xfId="1251"/>
    <cellStyle name="標準 4 5 6" xfId="1252"/>
    <cellStyle name="標準 4 5 6 2" xfId="1253"/>
    <cellStyle name="標準 4 5 6 2 2" xfId="1254"/>
    <cellStyle name="標準 4 5 6 3" xfId="1255"/>
    <cellStyle name="標準 4 5 6 3 2" xfId="1256"/>
    <cellStyle name="標準 4 5 6 4" xfId="1257"/>
    <cellStyle name="標準 4 5 7" xfId="1258"/>
    <cellStyle name="標準 4 5 7 2" xfId="1259"/>
    <cellStyle name="標準 4 5 7 2 2" xfId="1260"/>
    <cellStyle name="標準 4 5 7 3" xfId="1261"/>
    <cellStyle name="標準 4 5 7 3 2" xfId="1262"/>
    <cellStyle name="標準 4 5 7 4" xfId="1263"/>
    <cellStyle name="標準 4 5 8" xfId="1264"/>
    <cellStyle name="標準 4 5 8 2" xfId="1265"/>
    <cellStyle name="標準 4 5 9" xfId="1266"/>
    <cellStyle name="標準 4 5 9 2" xfId="1267"/>
    <cellStyle name="標準 4 6" xfId="1268"/>
    <cellStyle name="標準 4 7" xfId="1269"/>
    <cellStyle name="標準 4 7 2" xfId="1270"/>
    <cellStyle name="標準 4 8" xfId="1271"/>
    <cellStyle name="標準 4 9" xfId="1272"/>
    <cellStyle name="標準 5" xfId="1273"/>
    <cellStyle name="標準 5 2" xfId="1274"/>
    <cellStyle name="標準 5 2 2" xfId="1275"/>
    <cellStyle name="標準 5 2 2 2" xfId="1276"/>
    <cellStyle name="標準 5 2 2 2 2" xfId="1277"/>
    <cellStyle name="標準 5 2 2 3" xfId="1278"/>
    <cellStyle name="標準 5 2 2 3 2" xfId="1279"/>
    <cellStyle name="標準 5 2 2 4" xfId="1280"/>
    <cellStyle name="標準 5 2 3" xfId="1281"/>
    <cellStyle name="標準 5 2 3 2" xfId="1282"/>
    <cellStyle name="標準 5 2 3 2 2" xfId="1283"/>
    <cellStyle name="標準 5 2 3 3" xfId="1284"/>
    <cellStyle name="標準 5 2 3 3 2" xfId="1285"/>
    <cellStyle name="標準 5 2 3 4" xfId="1286"/>
    <cellStyle name="標準 5 2 4" xfId="1287"/>
    <cellStyle name="標準 5 2 4 2" xfId="1288"/>
    <cellStyle name="標準 5 2 4 2 2" xfId="1289"/>
    <cellStyle name="標準 5 2 4 3" xfId="1290"/>
    <cellStyle name="標準 5 2 4 3 2" xfId="1291"/>
    <cellStyle name="標準 5 2 4 4" xfId="1292"/>
    <cellStyle name="標準 5 2 5" xfId="1293"/>
    <cellStyle name="標準 5 2 6" xfId="1294"/>
    <cellStyle name="標準 5 2 6 2" xfId="1295"/>
    <cellStyle name="標準 5 2 7" xfId="1296"/>
    <cellStyle name="標準 5 2 7 2" xfId="1297"/>
    <cellStyle name="標準 5 2 8" xfId="1298"/>
    <cellStyle name="標準 5 2 8 2" xfId="1299"/>
    <cellStyle name="標準 5 2 9" xfId="1300"/>
    <cellStyle name="標準 5 3" xfId="1301"/>
    <cellStyle name="標準 6" xfId="1302"/>
    <cellStyle name="標準 6 2" xfId="1303"/>
    <cellStyle name="標準 7" xfId="1304"/>
    <cellStyle name="標準 7 10" xfId="1305"/>
    <cellStyle name="標準 7 10 2" xfId="1306"/>
    <cellStyle name="標準 7 11" xfId="1307"/>
    <cellStyle name="標準 7 11 2" xfId="1308"/>
    <cellStyle name="標準 7 12" xfId="1309"/>
    <cellStyle name="標準 7 2" xfId="1310"/>
    <cellStyle name="標準 7 2 10" xfId="1311"/>
    <cellStyle name="標準 7 2 10 2" xfId="1312"/>
    <cellStyle name="標準 7 2 11" xfId="1313"/>
    <cellStyle name="標準 7 2 2" xfId="1314"/>
    <cellStyle name="標準 7 2 2 2" xfId="1315"/>
    <cellStyle name="標準 7 2 2 2 2" xfId="1316"/>
    <cellStyle name="標準 7 2 2 2 2 2" xfId="1317"/>
    <cellStyle name="標準 7 2 2 2 2 2 2" xfId="1318"/>
    <cellStyle name="標準 7 2 2 2 2 3" xfId="1319"/>
    <cellStyle name="標準 7 2 2 2 2 3 2" xfId="1320"/>
    <cellStyle name="標準 7 2 2 2 2 4" xfId="1321"/>
    <cellStyle name="標準 7 2 2 2 3" xfId="1322"/>
    <cellStyle name="標準 7 2 2 2 3 2" xfId="1323"/>
    <cellStyle name="標準 7 2 2 2 3 2 2" xfId="1324"/>
    <cellStyle name="標準 7 2 2 2 3 3" xfId="1325"/>
    <cellStyle name="標準 7 2 2 2 3 3 2" xfId="1326"/>
    <cellStyle name="標準 7 2 2 2 3 4" xfId="1327"/>
    <cellStyle name="標準 7 2 2 2 4" xfId="1328"/>
    <cellStyle name="標準 7 2 2 2 4 2" xfId="1329"/>
    <cellStyle name="標準 7 2 2 2 4 2 2" xfId="1330"/>
    <cellStyle name="標準 7 2 2 2 4 3" xfId="1331"/>
    <cellStyle name="標準 7 2 2 2 4 3 2" xfId="1332"/>
    <cellStyle name="標準 7 2 2 2 4 4" xfId="1333"/>
    <cellStyle name="標準 7 2 2 2 5" xfId="1334"/>
    <cellStyle name="標準 7 2 2 2 5 2" xfId="1335"/>
    <cellStyle name="標準 7 2 2 2 6" xfId="1336"/>
    <cellStyle name="標準 7 2 2 2 6 2" xfId="1337"/>
    <cellStyle name="標準 7 2 2 2 7" xfId="1338"/>
    <cellStyle name="標準 7 2 2 2 7 2" xfId="1339"/>
    <cellStyle name="標準 7 2 2 2 8" xfId="1340"/>
    <cellStyle name="標準 7 2 2 3" xfId="1341"/>
    <cellStyle name="標準 7 2 2 3 2" xfId="1342"/>
    <cellStyle name="標準 7 2 2 3 2 2" xfId="1343"/>
    <cellStyle name="標準 7 2 2 3 3" xfId="1344"/>
    <cellStyle name="標準 7 2 2 3 3 2" xfId="1345"/>
    <cellStyle name="標準 7 2 2 3 4" xfId="1346"/>
    <cellStyle name="標準 7 2 2 4" xfId="1347"/>
    <cellStyle name="標準 7 2 2 4 2" xfId="1348"/>
    <cellStyle name="標準 7 2 2 4 2 2" xfId="1349"/>
    <cellStyle name="標準 7 2 2 4 3" xfId="1350"/>
    <cellStyle name="標準 7 2 2 4 3 2" xfId="1351"/>
    <cellStyle name="標準 7 2 2 4 4" xfId="1352"/>
    <cellStyle name="標準 7 2 2 5" xfId="1353"/>
    <cellStyle name="標準 7 2 2 5 2" xfId="1354"/>
    <cellStyle name="標準 7 2 2 5 2 2" xfId="1355"/>
    <cellStyle name="標準 7 2 2 5 3" xfId="1356"/>
    <cellStyle name="標準 7 2 2 5 3 2" xfId="1357"/>
    <cellStyle name="標準 7 2 2 5 4" xfId="1358"/>
    <cellStyle name="標準 7 2 2 6" xfId="1359"/>
    <cellStyle name="標準 7 2 2 6 2" xfId="1360"/>
    <cellStyle name="標準 7 2 2 7" xfId="1361"/>
    <cellStyle name="標準 7 2 2 7 2" xfId="1362"/>
    <cellStyle name="標準 7 2 2 8" xfId="1363"/>
    <cellStyle name="標準 7 2 2 8 2" xfId="1364"/>
    <cellStyle name="標準 7 2 2 9" xfId="1365"/>
    <cellStyle name="標準 7 2 3" xfId="1366"/>
    <cellStyle name="標準 7 2 3 2" xfId="1367"/>
    <cellStyle name="標準 7 2 3 2 2" xfId="1368"/>
    <cellStyle name="標準 7 2 3 2 2 2" xfId="1369"/>
    <cellStyle name="標準 7 2 3 2 2 2 2" xfId="1370"/>
    <cellStyle name="標準 7 2 3 2 2 3" xfId="1371"/>
    <cellStyle name="標準 7 2 3 2 2 3 2" xfId="1372"/>
    <cellStyle name="標準 7 2 3 2 2 4" xfId="1373"/>
    <cellStyle name="標準 7 2 3 2 3" xfId="1374"/>
    <cellStyle name="標準 7 2 3 2 3 2" xfId="1375"/>
    <cellStyle name="標準 7 2 3 2 3 2 2" xfId="1376"/>
    <cellStyle name="標準 7 2 3 2 3 3" xfId="1377"/>
    <cellStyle name="標準 7 2 3 2 3 3 2" xfId="1378"/>
    <cellStyle name="標準 7 2 3 2 3 4" xfId="1379"/>
    <cellStyle name="標準 7 2 3 2 4" xfId="1380"/>
    <cellStyle name="標準 7 2 3 2 4 2" xfId="1381"/>
    <cellStyle name="標準 7 2 3 2 4 2 2" xfId="1382"/>
    <cellStyle name="標準 7 2 3 2 4 3" xfId="1383"/>
    <cellStyle name="標準 7 2 3 2 4 3 2" xfId="1384"/>
    <cellStyle name="標準 7 2 3 2 4 4" xfId="1385"/>
    <cellStyle name="標準 7 2 3 2 5" xfId="1386"/>
    <cellStyle name="標準 7 2 3 2 5 2" xfId="1387"/>
    <cellStyle name="標準 7 2 3 2 6" xfId="1388"/>
    <cellStyle name="標準 7 2 3 2 6 2" xfId="1389"/>
    <cellStyle name="標準 7 2 3 2 7" xfId="1390"/>
    <cellStyle name="標準 7 2 3 2 7 2" xfId="1391"/>
    <cellStyle name="標準 7 2 3 2 8" xfId="1392"/>
    <cellStyle name="標準 7 2 3 3" xfId="1393"/>
    <cellStyle name="標準 7 2 3 3 2" xfId="1394"/>
    <cellStyle name="標準 7 2 3 3 2 2" xfId="1395"/>
    <cellStyle name="標準 7 2 3 3 3" xfId="1396"/>
    <cellStyle name="標準 7 2 3 3 3 2" xfId="1397"/>
    <cellStyle name="標準 7 2 3 3 4" xfId="1398"/>
    <cellStyle name="標準 7 2 3 4" xfId="1399"/>
    <cellStyle name="標準 7 2 3 4 2" xfId="1400"/>
    <cellStyle name="標準 7 2 3 4 2 2" xfId="1401"/>
    <cellStyle name="標準 7 2 3 4 3" xfId="1402"/>
    <cellStyle name="標準 7 2 3 4 3 2" xfId="1403"/>
    <cellStyle name="標準 7 2 3 4 4" xfId="1404"/>
    <cellStyle name="標準 7 2 3 5" xfId="1405"/>
    <cellStyle name="標準 7 2 3 5 2" xfId="1406"/>
    <cellStyle name="標準 7 2 3 5 2 2" xfId="1407"/>
    <cellStyle name="標準 7 2 3 5 3" xfId="1408"/>
    <cellStyle name="標準 7 2 3 5 3 2" xfId="1409"/>
    <cellStyle name="標準 7 2 3 5 4" xfId="1410"/>
    <cellStyle name="標準 7 2 3 6" xfId="1411"/>
    <cellStyle name="標準 7 2 3 6 2" xfId="1412"/>
    <cellStyle name="標準 7 2 3 7" xfId="1413"/>
    <cellStyle name="標準 7 2 3 7 2" xfId="1414"/>
    <cellStyle name="標準 7 2 3 8" xfId="1415"/>
    <cellStyle name="標準 7 2 3 8 2" xfId="1416"/>
    <cellStyle name="標準 7 2 3 9" xfId="1417"/>
    <cellStyle name="標準 7 2 4" xfId="1418"/>
    <cellStyle name="標準 7 2 4 2" xfId="1419"/>
    <cellStyle name="標準 7 2 4 2 2" xfId="1420"/>
    <cellStyle name="標準 7 2 4 2 2 2" xfId="1421"/>
    <cellStyle name="標準 7 2 4 2 3" xfId="1422"/>
    <cellStyle name="標準 7 2 4 2 3 2" xfId="1423"/>
    <cellStyle name="標準 7 2 4 2 4" xfId="1424"/>
    <cellStyle name="標準 7 2 4 3" xfId="1425"/>
    <cellStyle name="標準 7 2 4 3 2" xfId="1426"/>
    <cellStyle name="標準 7 2 4 3 2 2" xfId="1427"/>
    <cellStyle name="標準 7 2 4 3 3" xfId="1428"/>
    <cellStyle name="標準 7 2 4 3 3 2" xfId="1429"/>
    <cellStyle name="標準 7 2 4 3 4" xfId="1430"/>
    <cellStyle name="標準 7 2 4 4" xfId="1431"/>
    <cellStyle name="標準 7 2 4 4 2" xfId="1432"/>
    <cellStyle name="標準 7 2 4 4 2 2" xfId="1433"/>
    <cellStyle name="標準 7 2 4 4 3" xfId="1434"/>
    <cellStyle name="標準 7 2 4 4 3 2" xfId="1435"/>
    <cellStyle name="標準 7 2 4 4 4" xfId="1436"/>
    <cellStyle name="標準 7 2 4 5" xfId="1437"/>
    <cellStyle name="標準 7 2 4 5 2" xfId="1438"/>
    <cellStyle name="標準 7 2 4 6" xfId="1439"/>
    <cellStyle name="標準 7 2 4 6 2" xfId="1440"/>
    <cellStyle name="標準 7 2 4 7" xfId="1441"/>
    <cellStyle name="標準 7 2 4 7 2" xfId="1442"/>
    <cellStyle name="標準 7 2 4 8" xfId="1443"/>
    <cellStyle name="標準 7 2 5" xfId="1444"/>
    <cellStyle name="標準 7 2 5 2" xfId="1445"/>
    <cellStyle name="標準 7 2 5 2 2" xfId="1446"/>
    <cellStyle name="標準 7 2 5 3" xfId="1447"/>
    <cellStyle name="標準 7 2 5 3 2" xfId="1448"/>
    <cellStyle name="標準 7 2 5 4" xfId="1449"/>
    <cellStyle name="標準 7 2 6" xfId="1450"/>
    <cellStyle name="標準 7 2 6 2" xfId="1451"/>
    <cellStyle name="標準 7 2 6 2 2" xfId="1452"/>
    <cellStyle name="標準 7 2 6 3" xfId="1453"/>
    <cellStyle name="標準 7 2 6 3 2" xfId="1454"/>
    <cellStyle name="標準 7 2 6 4" xfId="1455"/>
    <cellStyle name="標準 7 2 7" xfId="1456"/>
    <cellStyle name="標準 7 2 7 2" xfId="1457"/>
    <cellStyle name="標準 7 2 7 2 2" xfId="1458"/>
    <cellStyle name="標準 7 2 7 3" xfId="1459"/>
    <cellStyle name="標準 7 2 7 3 2" xfId="1460"/>
    <cellStyle name="標準 7 2 7 4" xfId="1461"/>
    <cellStyle name="標準 7 2 8" xfId="1462"/>
    <cellStyle name="標準 7 2 8 2" xfId="1463"/>
    <cellStyle name="標準 7 2 9" xfId="1464"/>
    <cellStyle name="標準 7 2 9 2" xfId="1465"/>
    <cellStyle name="標準 7 3" xfId="1466"/>
    <cellStyle name="標準 7 3 2" xfId="1467"/>
    <cellStyle name="標準 7 3 2 2" xfId="1468"/>
    <cellStyle name="標準 7 3 2 2 2" xfId="1469"/>
    <cellStyle name="標準 7 3 2 2 2 2" xfId="1470"/>
    <cellStyle name="標準 7 3 2 2 3" xfId="1471"/>
    <cellStyle name="標準 7 3 2 2 3 2" xfId="1472"/>
    <cellStyle name="標準 7 3 2 2 4" xfId="1473"/>
    <cellStyle name="標準 7 3 2 3" xfId="1474"/>
    <cellStyle name="標準 7 3 2 3 2" xfId="1475"/>
    <cellStyle name="標準 7 3 2 3 2 2" xfId="1476"/>
    <cellStyle name="標準 7 3 2 3 3" xfId="1477"/>
    <cellStyle name="標準 7 3 2 3 3 2" xfId="1478"/>
    <cellStyle name="標準 7 3 2 3 4" xfId="1479"/>
    <cellStyle name="標準 7 3 2 4" xfId="1480"/>
    <cellStyle name="標準 7 3 2 4 2" xfId="1481"/>
    <cellStyle name="標準 7 3 2 4 2 2" xfId="1482"/>
    <cellStyle name="標準 7 3 2 4 3" xfId="1483"/>
    <cellStyle name="標準 7 3 2 4 3 2" xfId="1484"/>
    <cellStyle name="標準 7 3 2 4 4" xfId="1485"/>
    <cellStyle name="標準 7 3 2 5" xfId="1486"/>
    <cellStyle name="標準 7 3 2 5 2" xfId="1487"/>
    <cellStyle name="標準 7 3 2 6" xfId="1488"/>
    <cellStyle name="標準 7 3 2 6 2" xfId="1489"/>
    <cellStyle name="標準 7 3 2 7" xfId="1490"/>
    <cellStyle name="標準 7 3 2 7 2" xfId="1491"/>
    <cellStyle name="標準 7 3 2 8" xfId="1492"/>
    <cellStyle name="標準 7 3 3" xfId="1493"/>
    <cellStyle name="標準 7 3 3 2" xfId="1494"/>
    <cellStyle name="標準 7 3 3 2 2" xfId="1495"/>
    <cellStyle name="標準 7 3 3 3" xfId="1496"/>
    <cellStyle name="標準 7 3 3 3 2" xfId="1497"/>
    <cellStyle name="標準 7 3 3 4" xfId="1498"/>
    <cellStyle name="標準 7 3 4" xfId="1499"/>
    <cellStyle name="標準 7 3 4 2" xfId="1500"/>
    <cellStyle name="標準 7 3 4 2 2" xfId="1501"/>
    <cellStyle name="標準 7 3 4 3" xfId="1502"/>
    <cellStyle name="標準 7 3 4 3 2" xfId="1503"/>
    <cellStyle name="標準 7 3 4 4" xfId="1504"/>
    <cellStyle name="標準 7 3 5" xfId="1505"/>
    <cellStyle name="標準 7 3 5 2" xfId="1506"/>
    <cellStyle name="標準 7 3 5 2 2" xfId="1507"/>
    <cellStyle name="標準 7 3 5 3" xfId="1508"/>
    <cellStyle name="標準 7 3 5 3 2" xfId="1509"/>
    <cellStyle name="標準 7 3 5 4" xfId="1510"/>
    <cellStyle name="標準 7 3 6" xfId="1511"/>
    <cellStyle name="標準 7 3 6 2" xfId="1512"/>
    <cellStyle name="標準 7 3 7" xfId="1513"/>
    <cellStyle name="標準 7 3 7 2" xfId="1514"/>
    <cellStyle name="標準 7 3 8" xfId="1515"/>
    <cellStyle name="標準 7 3 8 2" xfId="1516"/>
    <cellStyle name="標準 7 3 9" xfId="1517"/>
    <cellStyle name="標準 7 4" xfId="1518"/>
    <cellStyle name="標準 7 4 2" xfId="1519"/>
    <cellStyle name="標準 7 4 2 2" xfId="1520"/>
    <cellStyle name="標準 7 4 2 2 2" xfId="1521"/>
    <cellStyle name="標準 7 4 2 2 2 2" xfId="1522"/>
    <cellStyle name="標準 7 4 2 2 3" xfId="1523"/>
    <cellStyle name="標準 7 4 2 2 3 2" xfId="1524"/>
    <cellStyle name="標準 7 4 2 2 4" xfId="1525"/>
    <cellStyle name="標準 7 4 2 3" xfId="1526"/>
    <cellStyle name="標準 7 4 2 3 2" xfId="1527"/>
    <cellStyle name="標準 7 4 2 3 2 2" xfId="1528"/>
    <cellStyle name="標準 7 4 2 3 3" xfId="1529"/>
    <cellStyle name="標準 7 4 2 3 3 2" xfId="1530"/>
    <cellStyle name="標準 7 4 2 3 4" xfId="1531"/>
    <cellStyle name="標準 7 4 2 4" xfId="1532"/>
    <cellStyle name="標準 7 4 2 4 2" xfId="1533"/>
    <cellStyle name="標準 7 4 2 4 2 2" xfId="1534"/>
    <cellStyle name="標準 7 4 2 4 3" xfId="1535"/>
    <cellStyle name="標準 7 4 2 4 3 2" xfId="1536"/>
    <cellStyle name="標準 7 4 2 4 4" xfId="1537"/>
    <cellStyle name="標準 7 4 2 5" xfId="1538"/>
    <cellStyle name="標準 7 4 2 5 2" xfId="1539"/>
    <cellStyle name="標準 7 4 2 6" xfId="1540"/>
    <cellStyle name="標準 7 4 2 6 2" xfId="1541"/>
    <cellStyle name="標準 7 4 2 7" xfId="1542"/>
    <cellStyle name="標準 7 4 2 7 2" xfId="1543"/>
    <cellStyle name="標準 7 4 2 8" xfId="1544"/>
    <cellStyle name="標準 7 4 3" xfId="1545"/>
    <cellStyle name="標準 7 4 3 2" xfId="1546"/>
    <cellStyle name="標準 7 4 3 2 2" xfId="1547"/>
    <cellStyle name="標準 7 4 3 3" xfId="1548"/>
    <cellStyle name="標準 7 4 3 3 2" xfId="1549"/>
    <cellStyle name="標準 7 4 3 4" xfId="1550"/>
    <cellStyle name="標準 7 4 4" xfId="1551"/>
    <cellStyle name="標準 7 4 4 2" xfId="1552"/>
    <cellStyle name="標準 7 4 4 2 2" xfId="1553"/>
    <cellStyle name="標準 7 4 4 3" xfId="1554"/>
    <cellStyle name="標準 7 4 4 3 2" xfId="1555"/>
    <cellStyle name="標準 7 4 4 4" xfId="1556"/>
    <cellStyle name="標準 7 4 5" xfId="1557"/>
    <cellStyle name="標準 7 4 5 2" xfId="1558"/>
    <cellStyle name="標準 7 4 5 2 2" xfId="1559"/>
    <cellStyle name="標準 7 4 5 3" xfId="1560"/>
    <cellStyle name="標準 7 4 5 3 2" xfId="1561"/>
    <cellStyle name="標準 7 4 5 4" xfId="1562"/>
    <cellStyle name="標準 7 4 6" xfId="1563"/>
    <cellStyle name="標準 7 4 6 2" xfId="1564"/>
    <cellStyle name="標準 7 4 7" xfId="1565"/>
    <cellStyle name="標準 7 4 7 2" xfId="1566"/>
    <cellStyle name="標準 7 4 8" xfId="1567"/>
    <cellStyle name="標準 7 4 8 2" xfId="1568"/>
    <cellStyle name="標準 7 4 9" xfId="1569"/>
    <cellStyle name="標準 7 5" xfId="1570"/>
    <cellStyle name="標準 7 5 2" xfId="1571"/>
    <cellStyle name="標準 7 5 2 2" xfId="1572"/>
    <cellStyle name="標準 7 5 2 2 2" xfId="1573"/>
    <cellStyle name="標準 7 5 2 3" xfId="1574"/>
    <cellStyle name="標準 7 5 2 3 2" xfId="1575"/>
    <cellStyle name="標準 7 5 2 4" xfId="1576"/>
    <cellStyle name="標準 7 5 3" xfId="1577"/>
    <cellStyle name="標準 7 5 3 2" xfId="1578"/>
    <cellStyle name="標準 7 5 3 2 2" xfId="1579"/>
    <cellStyle name="標準 7 5 3 3" xfId="1580"/>
    <cellStyle name="標準 7 5 3 3 2" xfId="1581"/>
    <cellStyle name="標準 7 5 3 4" xfId="1582"/>
    <cellStyle name="標準 7 5 4" xfId="1583"/>
    <cellStyle name="標準 7 5 4 2" xfId="1584"/>
    <cellStyle name="標準 7 5 4 2 2" xfId="1585"/>
    <cellStyle name="標準 7 5 4 3" xfId="1586"/>
    <cellStyle name="標準 7 5 4 3 2" xfId="1587"/>
    <cellStyle name="標準 7 5 4 4" xfId="1588"/>
    <cellStyle name="標準 7 5 5" xfId="1589"/>
    <cellStyle name="標準 7 5 5 2" xfId="1590"/>
    <cellStyle name="標準 7 5 6" xfId="1591"/>
    <cellStyle name="標準 7 5 6 2" xfId="1592"/>
    <cellStyle name="標準 7 5 7" xfId="1593"/>
    <cellStyle name="標準 7 5 7 2" xfId="1594"/>
    <cellStyle name="標準 7 5 8" xfId="1595"/>
    <cellStyle name="標準 7 6" xfId="1596"/>
    <cellStyle name="標準 7 6 2" xfId="1597"/>
    <cellStyle name="標準 7 6 2 2" xfId="1598"/>
    <cellStyle name="標準 7 6 3" xfId="1599"/>
    <cellStyle name="標準 7 6 3 2" xfId="1600"/>
    <cellStyle name="標準 7 6 4" xfId="1601"/>
    <cellStyle name="標準 7 7" xfId="1602"/>
    <cellStyle name="標準 7 7 2" xfId="1603"/>
    <cellStyle name="標準 7 7 2 2" xfId="1604"/>
    <cellStyle name="標準 7 7 3" xfId="1605"/>
    <cellStyle name="標準 7 7 3 2" xfId="1606"/>
    <cellStyle name="標準 7 7 4" xfId="1607"/>
    <cellStyle name="標準 7 8" xfId="1608"/>
    <cellStyle name="標準 7 8 2" xfId="1609"/>
    <cellStyle name="標準 7 8 2 2" xfId="1610"/>
    <cellStyle name="標準 7 8 3" xfId="1611"/>
    <cellStyle name="標準 7 8 3 2" xfId="1612"/>
    <cellStyle name="標準 7 8 4" xfId="1613"/>
    <cellStyle name="標準 7 9" xfId="1614"/>
    <cellStyle name="標準 7 9 2" xfId="1615"/>
    <cellStyle name="標準 8" xfId="1616"/>
    <cellStyle name="標準 8 10" xfId="1617"/>
    <cellStyle name="標準 8 10 2" xfId="1618"/>
    <cellStyle name="標準 8 11" xfId="1619"/>
    <cellStyle name="標準 8 2" xfId="1620"/>
    <cellStyle name="標準 8 2 2" xfId="1621"/>
    <cellStyle name="標準 8 2 2 2" xfId="1622"/>
    <cellStyle name="標準 8 2 2 2 2" xfId="1623"/>
    <cellStyle name="標準 8 2 2 2 2 2" xfId="1624"/>
    <cellStyle name="標準 8 2 2 2 3" xfId="1625"/>
    <cellStyle name="標準 8 2 2 2 3 2" xfId="1626"/>
    <cellStyle name="標準 8 2 2 2 4" xfId="1627"/>
    <cellStyle name="標準 8 2 2 3" xfId="1628"/>
    <cellStyle name="標準 8 2 2 3 2" xfId="1629"/>
    <cellStyle name="標準 8 2 2 3 2 2" xfId="1630"/>
    <cellStyle name="標準 8 2 2 3 3" xfId="1631"/>
    <cellStyle name="標準 8 2 2 3 3 2" xfId="1632"/>
    <cellStyle name="標準 8 2 2 3 4" xfId="1633"/>
    <cellStyle name="標準 8 2 2 4" xfId="1634"/>
    <cellStyle name="標準 8 2 2 4 2" xfId="1635"/>
    <cellStyle name="標準 8 2 2 4 2 2" xfId="1636"/>
    <cellStyle name="標準 8 2 2 4 3" xfId="1637"/>
    <cellStyle name="標準 8 2 2 4 3 2" xfId="1638"/>
    <cellStyle name="標準 8 2 2 4 4" xfId="1639"/>
    <cellStyle name="標準 8 2 2 5" xfId="1640"/>
    <cellStyle name="標準 8 2 2 5 2" xfId="1641"/>
    <cellStyle name="標準 8 2 2 6" xfId="1642"/>
    <cellStyle name="標準 8 2 2 6 2" xfId="1643"/>
    <cellStyle name="標準 8 2 2 7" xfId="1644"/>
    <cellStyle name="標準 8 2 2 7 2" xfId="1645"/>
    <cellStyle name="標準 8 2 2 8" xfId="1646"/>
    <cellStyle name="標準 8 2 3" xfId="1647"/>
    <cellStyle name="標準 8 2 3 2" xfId="1648"/>
    <cellStyle name="標準 8 2 3 2 2" xfId="1649"/>
    <cellStyle name="標準 8 2 3 3" xfId="1650"/>
    <cellStyle name="標準 8 2 3 3 2" xfId="1651"/>
    <cellStyle name="標準 8 2 3 4" xfId="1652"/>
    <cellStyle name="標準 8 2 4" xfId="1653"/>
    <cellStyle name="標準 8 2 4 2" xfId="1654"/>
    <cellStyle name="標準 8 2 4 2 2" xfId="1655"/>
    <cellStyle name="標準 8 2 4 3" xfId="1656"/>
    <cellStyle name="標準 8 2 4 3 2" xfId="1657"/>
    <cellStyle name="標準 8 2 4 4" xfId="1658"/>
    <cellStyle name="標準 8 2 5" xfId="1659"/>
    <cellStyle name="標準 8 2 5 2" xfId="1660"/>
    <cellStyle name="標準 8 2 5 2 2" xfId="1661"/>
    <cellStyle name="標準 8 2 5 3" xfId="1662"/>
    <cellStyle name="標準 8 2 5 3 2" xfId="1663"/>
    <cellStyle name="標準 8 2 5 4" xfId="1664"/>
    <cellStyle name="標準 8 2 6" xfId="1665"/>
    <cellStyle name="標準 8 2 6 2" xfId="1666"/>
    <cellStyle name="標準 8 2 7" xfId="1667"/>
    <cellStyle name="標準 8 2 7 2" xfId="1668"/>
    <cellStyle name="標準 8 2 8" xfId="1669"/>
    <cellStyle name="標準 8 2 8 2" xfId="1670"/>
    <cellStyle name="標準 8 2 9" xfId="1671"/>
    <cellStyle name="標準 8 3" xfId="1672"/>
    <cellStyle name="標準 8 3 2" xfId="1673"/>
    <cellStyle name="標準 8 3 2 2" xfId="1674"/>
    <cellStyle name="標準 8 3 2 2 2" xfId="1675"/>
    <cellStyle name="標準 8 3 2 2 2 2" xfId="1676"/>
    <cellStyle name="標準 8 3 2 2 3" xfId="1677"/>
    <cellStyle name="標準 8 3 2 2 3 2" xfId="1678"/>
    <cellStyle name="標準 8 3 2 2 4" xfId="1679"/>
    <cellStyle name="標準 8 3 2 3" xfId="1680"/>
    <cellStyle name="標準 8 3 2 3 2" xfId="1681"/>
    <cellStyle name="標準 8 3 2 3 2 2" xfId="1682"/>
    <cellStyle name="標準 8 3 2 3 3" xfId="1683"/>
    <cellStyle name="標準 8 3 2 3 3 2" xfId="1684"/>
    <cellStyle name="標準 8 3 2 3 4" xfId="1685"/>
    <cellStyle name="標準 8 3 2 4" xfId="1686"/>
    <cellStyle name="標準 8 3 2 4 2" xfId="1687"/>
    <cellStyle name="標準 8 3 2 4 2 2" xfId="1688"/>
    <cellStyle name="標準 8 3 2 4 3" xfId="1689"/>
    <cellStyle name="標準 8 3 2 4 3 2" xfId="1690"/>
    <cellStyle name="標準 8 3 2 4 4" xfId="1691"/>
    <cellStyle name="標準 8 3 2 5" xfId="1692"/>
    <cellStyle name="標準 8 3 2 5 2" xfId="1693"/>
    <cellStyle name="標準 8 3 2 6" xfId="1694"/>
    <cellStyle name="標準 8 3 2 6 2" xfId="1695"/>
    <cellStyle name="標準 8 3 2 7" xfId="1696"/>
    <cellStyle name="標準 8 3 2 7 2" xfId="1697"/>
    <cellStyle name="標準 8 3 2 8" xfId="1698"/>
    <cellStyle name="標準 8 3 3" xfId="1699"/>
    <cellStyle name="標準 8 3 3 2" xfId="1700"/>
    <cellStyle name="標準 8 3 3 2 2" xfId="1701"/>
    <cellStyle name="標準 8 3 3 3" xfId="1702"/>
    <cellStyle name="標準 8 3 3 3 2" xfId="1703"/>
    <cellStyle name="標準 8 3 3 4" xfId="1704"/>
    <cellStyle name="標準 8 3 4" xfId="1705"/>
    <cellStyle name="標準 8 3 4 2" xfId="1706"/>
    <cellStyle name="標準 8 3 4 2 2" xfId="1707"/>
    <cellStyle name="標準 8 3 4 3" xfId="1708"/>
    <cellStyle name="標準 8 3 4 3 2" xfId="1709"/>
    <cellStyle name="標準 8 3 4 4" xfId="1710"/>
    <cellStyle name="標準 8 3 5" xfId="1711"/>
    <cellStyle name="標準 8 3 5 2" xfId="1712"/>
    <cellStyle name="標準 8 3 5 2 2" xfId="1713"/>
    <cellStyle name="標準 8 3 5 3" xfId="1714"/>
    <cellStyle name="標準 8 3 5 3 2" xfId="1715"/>
    <cellStyle name="標準 8 3 5 4" xfId="1716"/>
    <cellStyle name="標準 8 3 6" xfId="1717"/>
    <cellStyle name="標準 8 3 6 2" xfId="1718"/>
    <cellStyle name="標準 8 3 7" xfId="1719"/>
    <cellStyle name="標準 8 3 7 2" xfId="1720"/>
    <cellStyle name="標準 8 3 8" xfId="1721"/>
    <cellStyle name="標準 8 3 8 2" xfId="1722"/>
    <cellStyle name="標準 8 3 9" xfId="1723"/>
    <cellStyle name="標準 8 4" xfId="1724"/>
    <cellStyle name="標準 8 4 2" xfId="1725"/>
    <cellStyle name="標準 8 4 2 2" xfId="1726"/>
    <cellStyle name="標準 8 4 2 2 2" xfId="1727"/>
    <cellStyle name="標準 8 4 2 3" xfId="1728"/>
    <cellStyle name="標準 8 4 2 3 2" xfId="1729"/>
    <cellStyle name="標準 8 4 2 4" xfId="1730"/>
    <cellStyle name="標準 8 4 3" xfId="1731"/>
    <cellStyle name="標準 8 4 3 2" xfId="1732"/>
    <cellStyle name="標準 8 4 3 2 2" xfId="1733"/>
    <cellStyle name="標準 8 4 3 3" xfId="1734"/>
    <cellStyle name="標準 8 4 3 3 2" xfId="1735"/>
    <cellStyle name="標準 8 4 3 4" xfId="1736"/>
    <cellStyle name="標準 8 4 4" xfId="1737"/>
    <cellStyle name="標準 8 4 4 2" xfId="1738"/>
    <cellStyle name="標準 8 4 4 2 2" xfId="1739"/>
    <cellStyle name="標準 8 4 4 3" xfId="1740"/>
    <cellStyle name="標準 8 4 4 3 2" xfId="1741"/>
    <cellStyle name="標準 8 4 4 4" xfId="1742"/>
    <cellStyle name="標準 8 4 5" xfId="1743"/>
    <cellStyle name="標準 8 4 5 2" xfId="1744"/>
    <cellStyle name="標準 8 4 6" xfId="1745"/>
    <cellStyle name="標準 8 4 6 2" xfId="1746"/>
    <cellStyle name="標準 8 4 7" xfId="1747"/>
    <cellStyle name="標準 8 4 7 2" xfId="1748"/>
    <cellStyle name="標準 8 4 8" xfId="1749"/>
    <cellStyle name="標準 8 5" xfId="1750"/>
    <cellStyle name="標準 8 5 2" xfId="1751"/>
    <cellStyle name="標準 8 5 2 2" xfId="1752"/>
    <cellStyle name="標準 8 5 3" xfId="1753"/>
    <cellStyle name="標準 8 5 3 2" xfId="1754"/>
    <cellStyle name="標準 8 5 4" xfId="1755"/>
    <cellStyle name="標準 8 6" xfId="1756"/>
    <cellStyle name="標準 8 6 2" xfId="1757"/>
    <cellStyle name="標準 8 6 2 2" xfId="1758"/>
    <cellStyle name="標準 8 6 3" xfId="1759"/>
    <cellStyle name="標準 8 6 3 2" xfId="1760"/>
    <cellStyle name="標準 8 6 4" xfId="1761"/>
    <cellStyle name="標準 8 7" xfId="1762"/>
    <cellStyle name="標準 8 7 2" xfId="1763"/>
    <cellStyle name="標準 8 7 2 2" xfId="1764"/>
    <cellStyle name="標準 8 7 3" xfId="1765"/>
    <cellStyle name="標準 8 7 3 2" xfId="1766"/>
    <cellStyle name="標準 8 7 4" xfId="1767"/>
    <cellStyle name="標準 8 8" xfId="1768"/>
    <cellStyle name="標準 8 8 2" xfId="1769"/>
    <cellStyle name="標準 8 9" xfId="1770"/>
    <cellStyle name="標準 8 9 2" xfId="1771"/>
    <cellStyle name="標準 9" xfId="1772"/>
    <cellStyle name="標準 9 2" xfId="1773"/>
    <cellStyle name="標準 9 2 2" xfId="1774"/>
    <cellStyle name="標準 9 2 2 2" xfId="1775"/>
    <cellStyle name="標準 9 2 2 2 2" xfId="1776"/>
    <cellStyle name="標準 9 2 2 3" xfId="1777"/>
    <cellStyle name="標準 9 2 2 3 2" xfId="1778"/>
    <cellStyle name="標準 9 2 2 4" xfId="1779"/>
    <cellStyle name="標準 9 2 3" xfId="1780"/>
    <cellStyle name="標準 9 2 3 2" xfId="1781"/>
    <cellStyle name="標準 9 2 3 2 2" xfId="1782"/>
    <cellStyle name="標準 9 2 3 3" xfId="1783"/>
    <cellStyle name="標準 9 2 3 3 2" xfId="1784"/>
    <cellStyle name="標準 9 2 3 4" xfId="1785"/>
    <cellStyle name="標準 9 2 4" xfId="1786"/>
    <cellStyle name="標準 9 2 4 2" xfId="1787"/>
    <cellStyle name="標準 9 2 4 2 2" xfId="1788"/>
    <cellStyle name="標準 9 2 4 3" xfId="1789"/>
    <cellStyle name="標準 9 2 4 3 2" xfId="1790"/>
    <cellStyle name="標準 9 2 4 4" xfId="1791"/>
    <cellStyle name="標準 9 2 5" xfId="1792"/>
    <cellStyle name="標準 9 2 5 2" xfId="1793"/>
    <cellStyle name="標準 9 2 6" xfId="1794"/>
    <cellStyle name="標準 9 2 6 2" xfId="1795"/>
    <cellStyle name="標準 9 2 7" xfId="1796"/>
    <cellStyle name="標準 9 2 7 2" xfId="1797"/>
    <cellStyle name="標準 9 2 8" xfId="1798"/>
    <cellStyle name="標準 9 3" xfId="1799"/>
    <cellStyle name="標準 9 3 2" xfId="1800"/>
    <cellStyle name="標準 9 3 2 2" xfId="1801"/>
    <cellStyle name="標準 9 3 3" xfId="1802"/>
    <cellStyle name="標準 9 3 3 2" xfId="1803"/>
    <cellStyle name="標準 9 3 4" xfId="1804"/>
    <cellStyle name="標準 9 4" xfId="1805"/>
    <cellStyle name="標準 9 4 2" xfId="1806"/>
    <cellStyle name="標準 9 4 2 2" xfId="1807"/>
    <cellStyle name="標準 9 4 3" xfId="1808"/>
    <cellStyle name="標準 9 4 3 2" xfId="1809"/>
    <cellStyle name="標準 9 4 4" xfId="1810"/>
    <cellStyle name="標準 9 5" xfId="1811"/>
    <cellStyle name="標準 9 5 2" xfId="1812"/>
    <cellStyle name="標準 9 5 2 2" xfId="1813"/>
    <cellStyle name="標準 9 5 3" xfId="1814"/>
    <cellStyle name="標準 9 5 3 2" xfId="1815"/>
    <cellStyle name="標準 9 5 4" xfId="1816"/>
    <cellStyle name="標準 9 6" xfId="1817"/>
    <cellStyle name="標準 9 6 2" xfId="1818"/>
    <cellStyle name="標準 9 7" xfId="1819"/>
    <cellStyle name="標準 9 7 2" xfId="1820"/>
    <cellStyle name="標準 9 8" xfId="1821"/>
    <cellStyle name="標準 9 8 2" xfId="1822"/>
    <cellStyle name="標準 9 9" xfId="1823"/>
    <cellStyle name="標準_20-060_プロセス記述書_インタラクション総時間算出" xfId="1824"/>
    <cellStyle name="注意" xfId="1825"/>
    <cellStyle name="脱浦 [0.00]_１１月・格表" xfId="1826"/>
    <cellStyle name="脱浦_１１月・格表" xfId="1827"/>
    <cellStyle name="良い 2" xfId="1828"/>
    <cellStyle name="良い 2 2" xfId="1829"/>
    <cellStyle name="良い 2 3" xfId="1830"/>
    <cellStyle name="良い 3" xfId="1831"/>
    <cellStyle name="表旨巧・・ハイパーリンク" xfId="1832"/>
    <cellStyle name="見出し 1 2" xfId="1833"/>
    <cellStyle name="見出し 1 2 2" xfId="1834"/>
    <cellStyle name="見出し 1 2 3" xfId="1835"/>
    <cellStyle name="見出し 1 3" xfId="1836"/>
    <cellStyle name="見出し 2 2" xfId="1837"/>
    <cellStyle name="見出し 2 2 2" xfId="1838"/>
    <cellStyle name="見出し 2 2 3" xfId="1839"/>
    <cellStyle name="見出し 2 3" xfId="1840"/>
    <cellStyle name="見出し 3 2" xfId="1841"/>
    <cellStyle name="見出し 3 2 2" xfId="1842"/>
    <cellStyle name="見出し 3 2 3" xfId="1843"/>
    <cellStyle name="見出し 3 3" xfId="1844"/>
    <cellStyle name="見出し 4 2" xfId="1845"/>
    <cellStyle name="見出し 4 2 2" xfId="1846"/>
    <cellStyle name="見出し 4 2 3" xfId="1847"/>
    <cellStyle name="見出し 4 3" xfId="1848"/>
    <cellStyle name="見積書" xfId="1849"/>
    <cellStyle name="計算 2" xfId="1850"/>
    <cellStyle name="計算 2 2" xfId="1851"/>
    <cellStyle name="計算 2 2 2" xfId="1852"/>
    <cellStyle name="計算 2 3" xfId="1853"/>
    <cellStyle name="計算 2 3 2" xfId="1854"/>
    <cellStyle name="計算 2 4" xfId="1855"/>
    <cellStyle name="計算 2 4 2" xfId="1856"/>
    <cellStyle name="計算 2 5" xfId="1857"/>
    <cellStyle name="計算 2 5 2" xfId="1858"/>
    <cellStyle name="計算 2 6" xfId="1859"/>
    <cellStyle name="計算 3" xfId="1860"/>
    <cellStyle name="説明文 2" xfId="1861"/>
    <cellStyle name="説明文 2 2" xfId="1862"/>
    <cellStyle name="説明文 2 3" xfId="1863"/>
    <cellStyle name="説明文 3" xfId="1864"/>
    <cellStyle name="警告文 2" xfId="1865"/>
    <cellStyle name="警告文 2 2" xfId="1866"/>
    <cellStyle name="警告文 2 3" xfId="1867"/>
    <cellStyle name="警告文 3" xfId="1868"/>
    <cellStyle name="通貨 2" xfId="1869"/>
    <cellStyle name="銅谷仕様書" xfId="1870"/>
    <cellStyle name="集計 2" xfId="1871"/>
    <cellStyle name="集計 2 2" xfId="1872"/>
    <cellStyle name="集計 2 2 2" xfId="1873"/>
    <cellStyle name="集計 2 3" xfId="1874"/>
    <cellStyle name="集計 2 3 2" xfId="1875"/>
    <cellStyle name="集計 2 4" xfId="1876"/>
    <cellStyle name="集計 2 4 2" xfId="1877"/>
    <cellStyle name="集計 2 5" xfId="1878"/>
    <cellStyle name="集計 2 5 2" xfId="1879"/>
    <cellStyle name="集計 2 6" xfId="1880"/>
    <cellStyle name="集計 3" xfId="188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2</xdr:row>
          <xdr:rowOff>133350</xdr:rowOff>
        </xdr:from>
        <xdr:to>
          <xdr:col>18</xdr:col>
          <xdr:colOff>447675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guyen_Cong_Binh/Magento/GitLap/magento-trainning-documentation/02.Design/02.Detail%20Design/Template%20ScreenUnitTest%20EN_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Nguyen_Cong_Binh/Magento/GitLap/magento-trainning-documentation/02.Design/02.Detail%20Design/Template_ScreenUnitTest_EN_0818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z2169132/DATA/03_Project/01_P&amp;G/030_&#21336;&#20307;&#12486;&#12473;&#12488;/00_&#12486;&#12473;&#12488;&#20181;&#27096;&#26360;/&#12486;&#12473;&#12488;&#32080;&#26524;&#22577;&#21578;&#26360;&#12304;&#19968;&#33324;&#1230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Nguyen_Cong_Binh/Magento/GitLap/magento-trainning-documentation/02.Design/02.Detail%20Design/Detail%20Code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ING"/>
      <sheetName val="Cover (horizontal)"/>
      <sheetName val="History"/>
      <sheetName val="総合結果"/>
      <sheetName val="OVERALL RESULT"/>
      <sheetName val="MOCKUP DESIGN"/>
      <sheetName val="TEST RESULT SUMMARY"/>
      <sheetName val="GRAP TC SUMMARY_"/>
      <sheetName val="F_010"/>
      <sheetName val="F_011"/>
      <sheetName val="F_012"/>
      <sheetName val="chartTemplate"/>
      <sheetName val="ItemsDefine"/>
      <sheetName val="TYPE"/>
      <sheetName val="ErrMsg"/>
      <sheetName val="INIT_DISPLAY"/>
      <sheetName val="LAYOUT"/>
      <sheetName val="LENGTH"/>
      <sheetName val="NAME_KATA"/>
      <sheetName val="ASCII"/>
      <sheetName val="EMAIL"/>
      <sheetName val="TEL"/>
      <sheetName val="INT"/>
      <sheetName val="DATE"/>
      <sheetName val="RANGE_INT"/>
      <sheetName val="TIME"/>
      <sheetName val="URL"/>
      <sheetName val="BOOLEAN"/>
      <sheetName val="BL_INSERT"/>
      <sheetName val="BL_UPDATE"/>
      <sheetName val="BL_DEL"/>
      <sheetName val="SCRTRANS"/>
      <sheetName val="DBTRANS"/>
      <sheetName val="BROWSER_EVENT"/>
      <sheetName val="XSS"/>
      <sheetName val="SQL_INJ"/>
      <sheetName val="Log"/>
      <sheetName val="TestContent"/>
      <sheetName val="Template ScreenUnitTest EN_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/>
      <sheetData sheetId="13" refreshError="1"/>
      <sheetData sheetId="14">
        <row r="2">
          <cell r="F2" t="str">
            <v>（入力項目名）は必須入力項目です。必ず入力してください。</v>
          </cell>
        </row>
      </sheetData>
      <sheetData sheetId="15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 refreshError="1"/>
      <sheetData sheetId="36"/>
      <sheetData sheetId="37">
        <row r="2">
          <cell r="C2" t="str">
            <v>Leave blank</v>
          </cell>
        </row>
      </sheetData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ING"/>
      <sheetName val="MOCKUP DESIGN_BK"/>
      <sheetName val="MOCKUP DESIGN"/>
      <sheetName val="TEST RESULT SUMMARY"/>
      <sheetName val="GRAPH SUMMARY"/>
      <sheetName val="SCREEN INFO"/>
      <sheetName val="chartTemplate"/>
      <sheetName val="ItemsDefine"/>
      <sheetName val="TYPE"/>
      <sheetName val="ErrMsg"/>
      <sheetName val="INIT_DISPLAY"/>
      <sheetName val="LAYOUT"/>
      <sheetName val="LENGTH"/>
      <sheetName val="NAME_KATA"/>
      <sheetName val="ASCII"/>
      <sheetName val="EMAIL"/>
      <sheetName val="TEL"/>
      <sheetName val="INT"/>
      <sheetName val="DATE"/>
      <sheetName val="RANGE_INT"/>
      <sheetName val="TIME"/>
      <sheetName val="URL"/>
      <sheetName val="BOOLEAN"/>
      <sheetName val="BL_INSERT"/>
      <sheetName val="BL_UPDATE"/>
      <sheetName val="BL_DEL"/>
      <sheetName val="SCRTRANS"/>
      <sheetName val="DBTRANS"/>
      <sheetName val="BROWSER_EVENT"/>
      <sheetName val="XSS"/>
      <sheetName val="SQL_INJ"/>
      <sheetName val="Log"/>
      <sheetName val="TestContent"/>
      <sheetName val="Template_ScreenUnitTest_EN_08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コピー用"/>
      <sheetName val="コピー用マトリック"/>
      <sheetName val="操作方法"/>
      <sheetName val="サンプル"/>
      <sheetName val="表紙（横）"/>
      <sheetName val="改定履歴"/>
      <sheetName val="前提条件"/>
      <sheetName val="総合結果"/>
      <sheetName val="WC1001-【フロント】リダイレクト"/>
      <sheetName val="WC1001-入力情報"/>
      <sheetName val="WC1001-DB更新内容"/>
      <sheetName val="WC1002-【フロント】アカウント連携"/>
      <sheetName val="WC1002-入力情報"/>
      <sheetName val="WC1002-DB更新"/>
      <sheetName val="WC1003-【フロント】アンケート回答"/>
      <sheetName val="WC1003-入力情報"/>
      <sheetName val="WC1003-DB更新"/>
    </sheetNames>
    <sheetDataSet>
      <sheetData sheetId="0">
        <row r="3">
          <cell r="E3" t="str">
            <v>プロクター・アンド・ギャンブル・ジャパン株式会社</v>
          </cell>
          <cell r="G3" t="str">
            <v>RETAILACE21</v>
          </cell>
        </row>
        <row r="4">
          <cell r="G4" t="str">
            <v>TeamPoS7000(富士通)</v>
          </cell>
        </row>
        <row r="5">
          <cell r="G5" t="str">
            <v>SHARP POS(X750)</v>
          </cell>
        </row>
        <row r="6">
          <cell r="E6" t="str">
            <v>LINE BusinessConnect</v>
          </cell>
          <cell r="G6" t="str">
            <v xml:space="preserve"> Internet Explorer 9</v>
          </cell>
        </row>
        <row r="7">
          <cell r="E7">
            <v>0</v>
          </cell>
          <cell r="G7" t="str">
            <v xml:space="preserve"> Internet Explorer 10</v>
          </cell>
        </row>
        <row r="8">
          <cell r="E8" t="str">
            <v>LINE BusinessConnect テスト設計書</v>
          </cell>
          <cell r="G8" t="str">
            <v xml:space="preserve"> Internet Explorer 11</v>
          </cell>
        </row>
        <row r="9">
          <cell r="G9" t="str">
            <v>Mozilla Firefox</v>
          </cell>
        </row>
        <row r="10">
          <cell r="G10" t="str">
            <v>Google Chrome</v>
          </cell>
        </row>
        <row r="11">
          <cell r="G11" t="str">
            <v>SP版シミュレーター</v>
          </cell>
        </row>
        <row r="12">
          <cell r="G12" t="str">
            <v>MB版シミュレーター</v>
          </cell>
        </row>
        <row r="13">
          <cell r="D13" t="str">
            <v>開発環境</v>
          </cell>
          <cell r="E13" t="str">
            <v>対象外</v>
          </cell>
          <cell r="G13" t="str">
            <v>AU SH008</v>
          </cell>
        </row>
        <row r="14">
          <cell r="D14" t="str">
            <v>ステージング環境</v>
          </cell>
          <cell r="E14" t="str">
            <v>準備作業</v>
          </cell>
          <cell r="G14" t="str">
            <v>DoComo P906i</v>
          </cell>
        </row>
        <row r="15">
          <cell r="D15" t="str">
            <v>本番 ステージング環境</v>
          </cell>
          <cell r="E15" t="str">
            <v>OK</v>
          </cell>
          <cell r="G15" t="str">
            <v>SoftBank 840SH</v>
          </cell>
        </row>
        <row r="16">
          <cell r="D16" t="str">
            <v>本番環境</v>
          </cell>
          <cell r="E16" t="str">
            <v>NG[致命的]</v>
          </cell>
          <cell r="G16" t="str">
            <v>XPERIA</v>
          </cell>
        </row>
        <row r="17">
          <cell r="E17" t="str">
            <v>NG[重大]</v>
          </cell>
          <cell r="G17" t="str">
            <v>GALAXY</v>
          </cell>
        </row>
        <row r="18">
          <cell r="E18" t="str">
            <v>NG</v>
          </cell>
          <cell r="G18" t="str">
            <v>AQUOS</v>
          </cell>
        </row>
        <row r="19">
          <cell r="E19" t="str">
            <v>NG[限定的]</v>
          </cell>
          <cell r="G19" t="str">
            <v>ARROWS</v>
          </cell>
        </row>
        <row r="20">
          <cell r="E20" t="str">
            <v>NG[軽微]</v>
          </cell>
          <cell r="G20" t="str">
            <v>REGZA</v>
          </cell>
        </row>
        <row r="21">
          <cell r="E21" t="str">
            <v>修正OK</v>
          </cell>
          <cell r="G21" t="str">
            <v>iPhone 4</v>
          </cell>
        </row>
        <row r="22">
          <cell r="G22" t="str">
            <v>iPhone 4ｓ</v>
          </cell>
        </row>
        <row r="23">
          <cell r="G23" t="str">
            <v>iPhone 5</v>
          </cell>
        </row>
        <row r="24">
          <cell r="G24" t="str">
            <v>iPad</v>
          </cell>
        </row>
        <row r="25">
          <cell r="G25" t="str">
            <v>iPad mini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"/>
      <sheetName val="Block_RegisterCondition"/>
      <sheetName val="etc_adminhtml_system"/>
      <sheetName val="etc_module"/>
      <sheetName val="Helper_Data"/>
      <sheetName val="view_frontend_layout"/>
      <sheetName val="registration"/>
    </sheetNames>
    <sheetDataSet>
      <sheetData sheetId="0">
        <row r="2">
          <cell r="D2" t="str">
            <v>Magento</v>
          </cell>
        </row>
        <row r="3">
          <cell r="D3" t="str">
            <v>Nguyen Cong Binh</v>
          </cell>
        </row>
        <row r="9">
          <cell r="G9" t="str">
            <v>TTV</v>
          </cell>
        </row>
        <row r="10">
          <cell r="G10" t="str">
            <v>TermCondition</v>
          </cell>
        </row>
        <row r="15">
          <cell r="C15" t="str">
            <v>Block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Q44"/>
  <sheetViews>
    <sheetView tabSelected="1" workbookViewId="0">
      <selection activeCell="D22" sqref="D22"/>
    </sheetView>
  </sheetViews>
  <sheetFormatPr defaultRowHeight="15"/>
  <cols>
    <col min="1" max="1" width="4.5703125" style="1" customWidth="1"/>
    <col min="2" max="2" width="3.28515625" style="1" customWidth="1"/>
    <col min="3" max="6" width="4.7109375" style="1" customWidth="1"/>
    <col min="7" max="7" width="8.7109375" style="1" customWidth="1"/>
    <col min="8" max="15" width="12.7109375" style="1" customWidth="1"/>
    <col min="16" max="16" width="25" style="1" customWidth="1"/>
    <col min="17" max="17" width="12.7109375" style="1" customWidth="1"/>
    <col min="18" max="16384" width="9.140625" style="1"/>
  </cols>
  <sheetData>
    <row r="2" spans="1:17">
      <c r="B2" s="5" t="s">
        <v>2</v>
      </c>
      <c r="C2" s="56"/>
      <c r="D2" s="2" t="s">
        <v>14</v>
      </c>
      <c r="E2" s="54"/>
      <c r="F2" s="2"/>
      <c r="G2" s="2"/>
      <c r="H2" s="33"/>
      <c r="I2" s="33"/>
      <c r="J2" s="33"/>
      <c r="K2" s="33"/>
      <c r="L2" s="33"/>
      <c r="M2" s="33"/>
      <c r="N2" s="33"/>
      <c r="O2" s="33"/>
      <c r="P2" s="33"/>
      <c r="Q2" s="34"/>
    </row>
    <row r="3" spans="1:17">
      <c r="B3" s="6" t="s">
        <v>0</v>
      </c>
      <c r="C3" s="57"/>
      <c r="D3" s="3" t="s">
        <v>45</v>
      </c>
      <c r="E3" s="3"/>
      <c r="F3" s="3"/>
      <c r="G3" s="3"/>
      <c r="H3" s="25"/>
      <c r="I3" s="25"/>
      <c r="J3" s="25"/>
      <c r="K3" s="25"/>
      <c r="L3" s="25"/>
      <c r="M3" s="25"/>
      <c r="N3" s="25"/>
      <c r="O3" s="25"/>
      <c r="P3" s="25"/>
      <c r="Q3" s="26"/>
    </row>
    <row r="4" spans="1:17">
      <c r="B4" s="6"/>
      <c r="C4" s="5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6"/>
    </row>
    <row r="5" spans="1:17">
      <c r="A5" s="20">
        <f ca="1">TODAY()</f>
        <v>42703</v>
      </c>
      <c r="B5" s="7"/>
      <c r="C5" s="58"/>
      <c r="D5" s="17"/>
      <c r="E5" s="41"/>
      <c r="F5" s="41"/>
      <c r="G5" s="17"/>
      <c r="H5" s="17"/>
      <c r="I5" s="17"/>
      <c r="J5" s="17"/>
      <c r="K5" s="41"/>
      <c r="L5" s="41"/>
      <c r="M5" s="19"/>
      <c r="N5" s="44"/>
      <c r="O5" s="44"/>
      <c r="P5" s="17"/>
      <c r="Q5" s="18"/>
    </row>
    <row r="6" spans="1:17">
      <c r="B6" s="83" t="s">
        <v>3</v>
      </c>
      <c r="C6" s="84"/>
      <c r="D6" s="85"/>
      <c r="E6" s="86"/>
      <c r="F6" s="86"/>
      <c r="G6" s="85"/>
      <c r="H6" s="85"/>
      <c r="I6" s="85"/>
      <c r="J6" s="85"/>
      <c r="K6" s="86"/>
      <c r="L6" s="86"/>
      <c r="M6" s="85"/>
      <c r="N6" s="86"/>
      <c r="O6" s="86"/>
      <c r="P6" s="85"/>
      <c r="Q6" s="87"/>
    </row>
    <row r="7" spans="1:17">
      <c r="B7" s="6"/>
      <c r="C7" s="57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9"/>
    </row>
    <row r="8" spans="1:17">
      <c r="B8" s="92" t="s">
        <v>4</v>
      </c>
      <c r="C8" s="93"/>
      <c r="D8" s="93"/>
      <c r="E8" s="93"/>
      <c r="F8" s="93"/>
      <c r="G8" s="31" t="s">
        <v>44</v>
      </c>
      <c r="H8" s="24"/>
      <c r="I8" s="24"/>
      <c r="J8" s="24"/>
      <c r="K8" s="35"/>
      <c r="L8" s="35"/>
      <c r="M8" s="24"/>
      <c r="N8" s="35"/>
      <c r="O8" s="35"/>
      <c r="P8" s="24"/>
      <c r="Q8" s="9"/>
    </row>
    <row r="9" spans="1:17">
      <c r="B9" s="94" t="s">
        <v>21</v>
      </c>
      <c r="C9" s="95"/>
      <c r="D9" s="95"/>
      <c r="E9" s="95"/>
      <c r="F9" s="95"/>
      <c r="G9" s="32" t="s">
        <v>22</v>
      </c>
      <c r="H9" s="8"/>
      <c r="I9" s="8"/>
      <c r="J9" s="8"/>
      <c r="K9" s="8"/>
      <c r="L9" s="8"/>
      <c r="M9" s="8"/>
      <c r="N9" s="8"/>
      <c r="O9" s="8"/>
      <c r="P9" s="8"/>
      <c r="Q9" s="9"/>
    </row>
    <row r="10" spans="1:17">
      <c r="B10" s="96" t="s">
        <v>5</v>
      </c>
      <c r="C10" s="97"/>
      <c r="D10" s="97"/>
      <c r="E10" s="97"/>
      <c r="F10" s="97"/>
      <c r="G10" s="28" t="s">
        <v>43</v>
      </c>
      <c r="H10" s="15"/>
      <c r="I10" s="15"/>
      <c r="J10" s="15"/>
      <c r="K10" s="36"/>
      <c r="L10" s="36"/>
      <c r="M10" s="15"/>
      <c r="N10" s="36"/>
      <c r="O10" s="36"/>
      <c r="P10" s="15"/>
      <c r="Q10" s="21"/>
    </row>
    <row r="11" spans="1:17">
      <c r="B11" s="96" t="s">
        <v>9</v>
      </c>
      <c r="C11" s="97"/>
      <c r="D11" s="97"/>
      <c r="E11" s="97"/>
      <c r="F11" s="97"/>
      <c r="G11" s="28" t="s">
        <v>8</v>
      </c>
      <c r="H11" s="8"/>
      <c r="I11" s="8"/>
      <c r="J11" s="22"/>
      <c r="K11" s="22"/>
      <c r="L11" s="22"/>
      <c r="M11" s="22"/>
      <c r="N11" s="22"/>
      <c r="O11" s="22"/>
      <c r="P11" s="8"/>
      <c r="Q11" s="9"/>
    </row>
    <row r="12" spans="1:17">
      <c r="B12" s="11"/>
      <c r="C12" s="59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9"/>
    </row>
    <row r="13" spans="1:17">
      <c r="B13" s="88" t="s">
        <v>6</v>
      </c>
      <c r="C13" s="89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1"/>
    </row>
    <row r="14" spans="1:17">
      <c r="B14" s="62" t="s">
        <v>19</v>
      </c>
      <c r="C14" s="6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9"/>
    </row>
    <row r="15" spans="1:17">
      <c r="B15" s="65">
        <f>IF(C15&lt;&gt;"",0,IF(D15&lt;&gt;"",1,IF(E15&lt;&gt;"",2,IF(F15&lt;&gt;"",3,""))))</f>
        <v>0</v>
      </c>
      <c r="C15" s="60" t="s">
        <v>17</v>
      </c>
      <c r="D15" s="32"/>
      <c r="E15" s="32"/>
      <c r="F15" s="32"/>
      <c r="G15" s="28"/>
      <c r="H15" s="36"/>
      <c r="I15" s="36"/>
      <c r="J15" s="36"/>
      <c r="K15" s="36"/>
      <c r="L15" s="36"/>
      <c r="M15" s="15"/>
      <c r="N15" s="36"/>
      <c r="O15" s="36"/>
      <c r="P15" s="15"/>
      <c r="Q15" s="21"/>
    </row>
    <row r="16" spans="1:17">
      <c r="B16" s="64">
        <f t="shared" ref="B16:B43" si="0">IF(C16&lt;&gt;"",0,IF(D16&lt;&gt;"",1,IF(E16&lt;&gt;"",2,IF(F16&lt;&gt;"",3,""))))</f>
        <v>1</v>
      </c>
      <c r="C16" s="32"/>
      <c r="D16" s="32" t="s">
        <v>25</v>
      </c>
      <c r="E16" s="32"/>
      <c r="F16" s="32"/>
      <c r="G16" s="37"/>
      <c r="H16" s="36"/>
      <c r="I16" s="36"/>
      <c r="J16" s="23"/>
      <c r="K16" s="23"/>
      <c r="L16" s="23"/>
      <c r="M16" s="23"/>
      <c r="N16" s="23"/>
      <c r="O16" s="23"/>
      <c r="P16" s="15"/>
      <c r="Q16" s="9"/>
    </row>
    <row r="17" spans="2:17">
      <c r="B17" s="64">
        <f t="shared" si="0"/>
        <v>0</v>
      </c>
      <c r="C17" s="60" t="s">
        <v>16</v>
      </c>
      <c r="D17" s="32"/>
      <c r="E17" s="32"/>
      <c r="F17" s="32"/>
      <c r="G17" s="37"/>
      <c r="H17" s="36"/>
      <c r="I17" s="36"/>
      <c r="J17" s="23"/>
      <c r="K17" s="23"/>
      <c r="L17" s="23"/>
      <c r="M17" s="23"/>
      <c r="N17" s="23"/>
      <c r="O17" s="23"/>
      <c r="P17" s="36"/>
      <c r="Q17" s="9"/>
    </row>
    <row r="18" spans="2:17">
      <c r="B18" s="64">
        <f t="shared" si="0"/>
        <v>1</v>
      </c>
      <c r="C18" s="32"/>
      <c r="D18" s="32" t="s">
        <v>18</v>
      </c>
      <c r="E18" s="32"/>
      <c r="F18" s="32"/>
      <c r="G18" s="38"/>
      <c r="H18" s="36"/>
      <c r="I18" s="36"/>
      <c r="J18" s="36"/>
      <c r="K18" s="38"/>
      <c r="L18" s="36"/>
      <c r="M18" s="29"/>
      <c r="N18" s="36"/>
      <c r="O18" s="36"/>
      <c r="P18" s="29"/>
      <c r="Q18" s="21"/>
    </row>
    <row r="19" spans="2:17">
      <c r="B19" s="64">
        <f t="shared" si="0"/>
        <v>2</v>
      </c>
      <c r="C19" s="32"/>
      <c r="D19" s="32"/>
      <c r="E19" s="32" t="s">
        <v>32</v>
      </c>
      <c r="F19" s="32"/>
      <c r="G19" s="36"/>
      <c r="H19" s="36"/>
      <c r="I19" s="36"/>
      <c r="J19" s="36"/>
      <c r="K19" s="36"/>
      <c r="L19" s="36"/>
      <c r="M19" s="29"/>
      <c r="N19" s="36"/>
      <c r="O19" s="36"/>
      <c r="P19" s="29"/>
      <c r="Q19" s="16"/>
    </row>
    <row r="20" spans="2:17">
      <c r="B20" s="64">
        <f t="shared" si="0"/>
        <v>1</v>
      </c>
      <c r="C20" s="32"/>
      <c r="D20" s="32" t="s">
        <v>34</v>
      </c>
      <c r="E20" s="32"/>
      <c r="F20" s="32"/>
      <c r="G20" s="42"/>
      <c r="H20" s="55"/>
      <c r="I20" s="55"/>
      <c r="J20" s="55"/>
      <c r="K20" s="28"/>
      <c r="L20" s="55"/>
      <c r="M20" s="39"/>
      <c r="N20" s="39"/>
      <c r="O20" s="39"/>
      <c r="P20" s="39"/>
      <c r="Q20" s="40"/>
    </row>
    <row r="21" spans="2:17">
      <c r="B21" s="64">
        <f t="shared" si="0"/>
        <v>0</v>
      </c>
      <c r="C21" s="60" t="s">
        <v>36</v>
      </c>
      <c r="D21" s="32"/>
      <c r="E21" s="32"/>
      <c r="F21" s="32"/>
      <c r="G21" s="32"/>
      <c r="H21" s="32"/>
      <c r="I21" s="32"/>
      <c r="J21" s="32"/>
      <c r="K21" s="32"/>
      <c r="L21" s="32"/>
      <c r="M21" s="8"/>
      <c r="N21" s="8"/>
      <c r="O21" s="8"/>
      <c r="P21" s="8"/>
      <c r="Q21" s="9"/>
    </row>
    <row r="22" spans="2:17">
      <c r="B22" s="64">
        <f t="shared" si="0"/>
        <v>1</v>
      </c>
      <c r="C22" s="32"/>
      <c r="D22" s="80" t="s">
        <v>35</v>
      </c>
      <c r="E22" s="32"/>
      <c r="F22" s="32"/>
      <c r="G22" s="32"/>
      <c r="H22" s="32"/>
      <c r="I22" s="32"/>
      <c r="J22" s="32"/>
      <c r="K22" s="32"/>
      <c r="L22" s="32"/>
      <c r="M22" s="8"/>
      <c r="N22" s="8"/>
      <c r="O22" s="8"/>
      <c r="P22" s="8"/>
      <c r="Q22" s="9"/>
    </row>
    <row r="23" spans="2:17">
      <c r="B23" s="64">
        <f t="shared" si="0"/>
        <v>0</v>
      </c>
      <c r="C23" s="60" t="s">
        <v>15</v>
      </c>
      <c r="D23" s="32"/>
      <c r="E23" s="32"/>
      <c r="F23" s="32"/>
      <c r="G23" s="32"/>
      <c r="H23" s="32"/>
      <c r="I23" s="32"/>
      <c r="J23" s="32"/>
      <c r="K23" s="32"/>
      <c r="L23" s="32"/>
      <c r="M23" s="8"/>
      <c r="N23" s="8"/>
      <c r="O23" s="8"/>
      <c r="P23" s="8"/>
      <c r="Q23" s="9"/>
    </row>
    <row r="24" spans="2:17">
      <c r="B24" s="64">
        <f t="shared" si="0"/>
        <v>1</v>
      </c>
      <c r="C24" s="32"/>
      <c r="D24" s="32" t="s">
        <v>41</v>
      </c>
      <c r="E24" s="32"/>
      <c r="F24" s="32"/>
      <c r="G24" s="32"/>
      <c r="H24" s="32"/>
      <c r="I24" s="32"/>
      <c r="J24" s="32"/>
      <c r="K24" s="32"/>
      <c r="L24" s="32"/>
      <c r="M24" s="8"/>
      <c r="N24" s="8"/>
      <c r="O24" s="8"/>
      <c r="P24" s="8"/>
      <c r="Q24" s="9"/>
    </row>
    <row r="25" spans="2:17">
      <c r="B25" s="64">
        <f t="shared" si="0"/>
        <v>2</v>
      </c>
      <c r="C25" s="32"/>
      <c r="D25" s="81"/>
      <c r="E25" s="32" t="s">
        <v>20</v>
      </c>
      <c r="F25" s="32"/>
      <c r="G25" s="32"/>
      <c r="H25" s="32"/>
      <c r="I25" s="32"/>
      <c r="J25" s="32"/>
      <c r="K25" s="32"/>
      <c r="L25" s="32"/>
      <c r="M25" s="8"/>
      <c r="N25" s="8"/>
      <c r="O25" s="8"/>
      <c r="P25" s="8"/>
      <c r="Q25" s="9"/>
    </row>
    <row r="26" spans="2:17">
      <c r="B26" s="64">
        <f t="shared" si="0"/>
        <v>3</v>
      </c>
      <c r="C26" s="32"/>
      <c r="D26" s="81"/>
      <c r="E26" s="32"/>
      <c r="F26" s="32" t="s">
        <v>38</v>
      </c>
      <c r="G26" s="32"/>
      <c r="H26" s="32"/>
      <c r="I26" s="32"/>
      <c r="J26" s="32"/>
      <c r="K26" s="32"/>
      <c r="L26" s="32"/>
      <c r="M26" s="8"/>
      <c r="N26" s="8"/>
      <c r="O26" s="8"/>
      <c r="P26" s="8"/>
      <c r="Q26" s="9"/>
    </row>
    <row r="27" spans="2:17">
      <c r="B27" s="64">
        <f t="shared" si="0"/>
        <v>2</v>
      </c>
      <c r="C27" s="32"/>
      <c r="D27" s="81"/>
      <c r="E27" s="32" t="s">
        <v>7</v>
      </c>
      <c r="F27" s="32"/>
      <c r="G27" s="32"/>
      <c r="H27" s="32"/>
      <c r="I27" s="32"/>
      <c r="J27" s="32"/>
      <c r="K27" s="32"/>
      <c r="L27" s="32"/>
      <c r="M27" s="8"/>
      <c r="N27" s="8"/>
      <c r="O27" s="8"/>
      <c r="P27" s="8"/>
      <c r="Q27" s="9"/>
    </row>
    <row r="28" spans="2:17">
      <c r="B28" s="64">
        <f t="shared" si="0"/>
        <v>3</v>
      </c>
      <c r="C28" s="32"/>
      <c r="D28" s="32"/>
      <c r="E28" s="81"/>
      <c r="F28" s="80" t="s">
        <v>42</v>
      </c>
      <c r="G28" s="32"/>
      <c r="H28" s="32"/>
      <c r="I28" s="32"/>
      <c r="J28" s="32"/>
      <c r="K28" s="32"/>
      <c r="L28" s="32"/>
      <c r="M28" s="8"/>
      <c r="N28" s="8"/>
      <c r="O28" s="8"/>
      <c r="P28" s="8"/>
      <c r="Q28" s="9"/>
    </row>
    <row r="29" spans="2:17">
      <c r="B29" s="64">
        <f t="shared" si="0"/>
        <v>0</v>
      </c>
      <c r="C29" s="60" t="s">
        <v>40</v>
      </c>
      <c r="D29" s="32"/>
      <c r="E29" s="32"/>
      <c r="F29" s="32"/>
      <c r="G29" s="32"/>
      <c r="H29" s="32"/>
      <c r="I29" s="32"/>
      <c r="J29" s="32"/>
      <c r="K29" s="32"/>
      <c r="L29" s="32"/>
      <c r="M29" s="8"/>
      <c r="N29" s="8"/>
      <c r="O29" s="8"/>
      <c r="P29" s="8"/>
      <c r="Q29" s="9"/>
    </row>
    <row r="30" spans="2:17">
      <c r="B30" s="64" t="str">
        <f t="shared" si="0"/>
        <v/>
      </c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8"/>
      <c r="N30" s="8"/>
      <c r="O30" s="8"/>
      <c r="P30" s="8"/>
      <c r="Q30" s="9"/>
    </row>
    <row r="31" spans="2:17">
      <c r="B31" s="64" t="str">
        <f t="shared" si="0"/>
        <v/>
      </c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8"/>
      <c r="N31" s="8"/>
      <c r="O31" s="8"/>
      <c r="P31" s="8"/>
      <c r="Q31" s="9"/>
    </row>
    <row r="32" spans="2:17">
      <c r="B32" s="64" t="str">
        <f t="shared" si="0"/>
        <v/>
      </c>
      <c r="C32" s="60"/>
      <c r="D32" s="32"/>
      <c r="E32" s="32"/>
      <c r="F32" s="32"/>
      <c r="G32" s="32"/>
      <c r="H32" s="32"/>
      <c r="I32" s="32"/>
      <c r="J32" s="32"/>
      <c r="K32" s="32"/>
      <c r="L32" s="32"/>
      <c r="M32" s="8"/>
      <c r="N32" s="8"/>
      <c r="O32" s="8"/>
      <c r="P32" s="8"/>
      <c r="Q32" s="9"/>
    </row>
    <row r="33" spans="2:17">
      <c r="B33" s="64" t="str">
        <f t="shared" si="0"/>
        <v/>
      </c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8"/>
      <c r="N33" s="8"/>
      <c r="O33" s="8"/>
      <c r="P33" s="8"/>
      <c r="Q33" s="9"/>
    </row>
    <row r="34" spans="2:17">
      <c r="B34" s="64" t="str">
        <f t="shared" si="0"/>
        <v/>
      </c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8"/>
      <c r="N34" s="8"/>
      <c r="O34" s="8"/>
      <c r="P34" s="8"/>
      <c r="Q34" s="9"/>
    </row>
    <row r="35" spans="2:17">
      <c r="B35" s="64" t="str">
        <f t="shared" si="0"/>
        <v/>
      </c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8"/>
      <c r="N35" s="8"/>
      <c r="O35" s="8"/>
      <c r="P35" s="8"/>
      <c r="Q35" s="9"/>
    </row>
    <row r="36" spans="2:17">
      <c r="B36" s="64" t="str">
        <f t="shared" si="0"/>
        <v/>
      </c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8"/>
      <c r="N36" s="8"/>
      <c r="O36" s="8"/>
      <c r="P36" s="8"/>
      <c r="Q36" s="9"/>
    </row>
    <row r="37" spans="2:17">
      <c r="B37" s="64" t="str">
        <f t="shared" si="0"/>
        <v/>
      </c>
      <c r="C37" s="60"/>
      <c r="D37" s="32"/>
      <c r="E37" s="32"/>
      <c r="F37" s="32"/>
      <c r="G37" s="32"/>
      <c r="H37" s="32"/>
      <c r="I37" s="32"/>
      <c r="J37" s="32"/>
      <c r="K37" s="32"/>
      <c r="L37" s="32"/>
      <c r="M37" s="8"/>
      <c r="N37" s="8"/>
      <c r="O37" s="8"/>
      <c r="P37" s="8"/>
      <c r="Q37" s="9"/>
    </row>
    <row r="38" spans="2:17">
      <c r="B38" s="64" t="str">
        <f t="shared" si="0"/>
        <v/>
      </c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8"/>
      <c r="N38" s="8"/>
      <c r="O38" s="8"/>
      <c r="P38" s="8"/>
      <c r="Q38" s="9"/>
    </row>
    <row r="39" spans="2:17">
      <c r="B39" s="64" t="str">
        <f t="shared" si="0"/>
        <v/>
      </c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8"/>
      <c r="N39" s="8"/>
      <c r="O39" s="8"/>
      <c r="P39" s="8"/>
      <c r="Q39" s="9"/>
    </row>
    <row r="40" spans="2:17">
      <c r="B40" s="64" t="str">
        <f t="shared" si="0"/>
        <v/>
      </c>
      <c r="C40" s="60"/>
      <c r="D40" s="32"/>
      <c r="E40" s="32"/>
      <c r="F40" s="32"/>
      <c r="G40" s="32"/>
      <c r="H40" s="32"/>
      <c r="I40" s="32"/>
      <c r="J40" s="32"/>
      <c r="K40" s="32"/>
      <c r="L40" s="32"/>
      <c r="M40" s="8"/>
      <c r="N40" s="8"/>
      <c r="O40" s="8"/>
      <c r="P40" s="8"/>
      <c r="Q40" s="9"/>
    </row>
    <row r="41" spans="2:17">
      <c r="B41" s="64" t="str">
        <f t="shared" si="0"/>
        <v/>
      </c>
      <c r="C41" s="60"/>
      <c r="D41" s="32"/>
      <c r="E41" s="32"/>
      <c r="F41" s="32"/>
      <c r="G41" s="32"/>
      <c r="H41" s="32"/>
      <c r="I41" s="32"/>
      <c r="J41" s="32"/>
      <c r="K41" s="32"/>
      <c r="L41" s="32"/>
      <c r="M41" s="8"/>
      <c r="N41" s="8"/>
      <c r="O41" s="8"/>
      <c r="P41" s="8"/>
      <c r="Q41" s="9"/>
    </row>
    <row r="42" spans="2:17">
      <c r="B42" s="64" t="str">
        <f t="shared" si="0"/>
        <v/>
      </c>
      <c r="C42" s="60"/>
      <c r="D42" s="32"/>
      <c r="E42" s="32"/>
      <c r="F42" s="32"/>
      <c r="G42" s="32"/>
      <c r="H42" s="32"/>
      <c r="I42" s="32"/>
      <c r="J42" s="32"/>
      <c r="K42" s="32"/>
      <c r="L42" s="32"/>
      <c r="M42" s="8"/>
      <c r="N42" s="8"/>
      <c r="O42" s="8"/>
      <c r="P42" s="8"/>
      <c r="Q42" s="9"/>
    </row>
    <row r="43" spans="2:17">
      <c r="B43" s="66" t="str">
        <f t="shared" si="0"/>
        <v/>
      </c>
      <c r="C43" s="61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13"/>
    </row>
    <row r="44" spans="2:17">
      <c r="B44" s="14" t="s">
        <v>1</v>
      </c>
      <c r="C44" s="14"/>
    </row>
  </sheetData>
  <mergeCells count="7">
    <mergeCell ref="D7:P7"/>
    <mergeCell ref="B6:Q6"/>
    <mergeCell ref="B13:Q13"/>
    <mergeCell ref="B8:F8"/>
    <mergeCell ref="B9:F9"/>
    <mergeCell ref="B10:F10"/>
    <mergeCell ref="B11:F11"/>
  </mergeCells>
  <dataValidations disablePrompts="1" count="1">
    <dataValidation type="list" allowBlank="1" showInputMessage="1" showErrorMessage="1" sqref="Q11:Q12 Q16:Q17">
      <formula1>"New,InProgress,Completed"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_Click">
                <anchor moveWithCells="1" sizeWithCells="1">
                  <from>
                    <xdr:col>17</xdr:col>
                    <xdr:colOff>47625</xdr:colOff>
                    <xdr:row>2</xdr:row>
                    <xdr:rowOff>133350</xdr:rowOff>
                  </from>
                  <to>
                    <xdr:col>18</xdr:col>
                    <xdr:colOff>447675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P15"/>
  <sheetViews>
    <sheetView workbookViewId="0">
      <selection activeCell="Q13" sqref="Q13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6">
      <c r="B2" s="74" t="s">
        <v>2</v>
      </c>
      <c r="C2" s="75"/>
      <c r="D2" s="54" t="str">
        <f>[4]Template!D2</f>
        <v>Magento</v>
      </c>
      <c r="E2" s="54"/>
      <c r="F2" s="76"/>
      <c r="G2" s="76"/>
      <c r="H2" s="76"/>
      <c r="I2" s="77"/>
      <c r="J2" s="78"/>
      <c r="K2" s="78"/>
      <c r="L2" s="78"/>
      <c r="M2" s="78"/>
      <c r="N2" s="78"/>
      <c r="O2" s="79"/>
    </row>
    <row r="3" spans="1:16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6">
      <c r="B4" s="46" t="s">
        <v>12</v>
      </c>
      <c r="C4" s="48"/>
      <c r="D4" s="45" t="s">
        <v>25</v>
      </c>
      <c r="E4" s="27"/>
      <c r="F4" s="27"/>
      <c r="G4" s="27"/>
      <c r="H4" s="27"/>
      <c r="I4" s="52" t="s">
        <v>13</v>
      </c>
      <c r="J4" s="27" t="str">
        <f>[4]Template!C15</f>
        <v>Block</v>
      </c>
      <c r="K4" s="27"/>
      <c r="L4" s="27"/>
      <c r="M4" s="27"/>
      <c r="N4" s="27"/>
      <c r="O4" s="26"/>
    </row>
    <row r="5" spans="1:16">
      <c r="A5" s="20">
        <f ca="1">TODAY()</f>
        <v>42703</v>
      </c>
      <c r="B5" s="49" t="s">
        <v>11</v>
      </c>
      <c r="C5" s="67"/>
      <c r="D5" s="41" t="s">
        <v>26</v>
      </c>
      <c r="E5" s="41"/>
      <c r="F5" s="41"/>
      <c r="G5" s="41"/>
      <c r="H5" s="41"/>
      <c r="I5" s="51" t="s">
        <v>10</v>
      </c>
      <c r="J5" s="41" t="s">
        <v>27</v>
      </c>
      <c r="K5" s="44"/>
      <c r="L5" s="44"/>
      <c r="M5" s="44"/>
      <c r="N5" s="41"/>
      <c r="O5" s="18"/>
    </row>
    <row r="6" spans="1:16">
      <c r="A6" s="20"/>
      <c r="B6" s="49" t="s">
        <v>23</v>
      </c>
      <c r="C6" s="67"/>
      <c r="D6" s="41" t="str">
        <f>[4]Template!G9 &amp; "\" &amp;[4]Template!G10 &amp; "\" &amp;Block_RegisterCondition!J4</f>
        <v>TTV\TermCondition\Block</v>
      </c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6">
      <c r="A7" s="20"/>
      <c r="B7" s="98" t="s">
        <v>24</v>
      </c>
      <c r="C7" s="99"/>
      <c r="D7" s="45" t="s">
        <v>28</v>
      </c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6">
      <c r="A8" s="20"/>
      <c r="B8" s="100"/>
      <c r="C8" s="101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6">
      <c r="A9" s="20"/>
      <c r="B9" s="102"/>
      <c r="C9" s="103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6">
      <c r="B10" s="104" t="s">
        <v>29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6"/>
    </row>
    <row r="11" spans="1:16" ht="88.5" customHeight="1">
      <c r="B11" s="30"/>
      <c r="C11" s="107" t="s">
        <v>30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9"/>
    </row>
    <row r="12" spans="1:16">
      <c r="B12" s="104" t="s">
        <v>31</v>
      </c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6"/>
    </row>
    <row r="13" spans="1:16" ht="105" customHeight="1">
      <c r="B13" s="10"/>
      <c r="C13" s="110" t="s">
        <v>50</v>
      </c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2"/>
      <c r="P13" t="s">
        <v>53</v>
      </c>
    </row>
    <row r="14" spans="1:16">
      <c r="B14" s="4"/>
      <c r="C14" s="5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13"/>
    </row>
    <row r="15" spans="1:16" ht="135" customHeight="1">
      <c r="B15" s="14" t="s">
        <v>1</v>
      </c>
    </row>
  </sheetData>
  <mergeCells count="5">
    <mergeCell ref="B7:C9"/>
    <mergeCell ref="B10:O10"/>
    <mergeCell ref="C11:O11"/>
    <mergeCell ref="B12:O12"/>
    <mergeCell ref="C13:O13"/>
  </mergeCells>
  <pageMargins left="0.7" right="0.7" top="0.75" bottom="0.75" header="0.3" footer="0.3"/>
  <pageSetup scale="5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O17"/>
  <sheetViews>
    <sheetView topLeftCell="A4" workbookViewId="0">
      <selection activeCell="C11" sqref="C11:O11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74" t="s">
        <v>2</v>
      </c>
      <c r="C2" s="75"/>
      <c r="D2" s="54" t="str">
        <f>[4]Template!D2</f>
        <v>Magento</v>
      </c>
      <c r="E2" s="54"/>
      <c r="F2" s="76"/>
      <c r="G2" s="76"/>
      <c r="H2" s="76"/>
      <c r="I2" s="77"/>
      <c r="J2" s="78"/>
      <c r="K2" s="78"/>
      <c r="L2" s="78"/>
      <c r="M2" s="78"/>
      <c r="N2" s="78"/>
      <c r="O2" s="79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32</v>
      </c>
      <c r="E4" s="27"/>
      <c r="F4" s="27"/>
      <c r="G4" s="27"/>
      <c r="H4" s="27"/>
      <c r="I4" s="52" t="s">
        <v>13</v>
      </c>
      <c r="J4" s="27" t="s">
        <v>33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/>
      <c r="E5" s="41"/>
      <c r="F5" s="41"/>
      <c r="G5" s="41"/>
      <c r="H5" s="41"/>
      <c r="I5" s="51" t="s">
        <v>10</v>
      </c>
      <c r="J5" s="41"/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/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8" t="s">
        <v>24</v>
      </c>
      <c r="C7" s="99"/>
      <c r="D7" s="45"/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100"/>
      <c r="C8" s="101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102"/>
      <c r="C9" s="103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14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6"/>
    </row>
    <row r="11" spans="1:15" ht="88.5" customHeight="1">
      <c r="B11" s="6"/>
      <c r="C11" s="117" t="s">
        <v>55</v>
      </c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9"/>
    </row>
    <row r="12" spans="1:15">
      <c r="B12" s="104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6"/>
    </row>
    <row r="13" spans="1:15" ht="105" customHeight="1">
      <c r="B13" s="30"/>
      <c r="C13" s="120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9"/>
    </row>
    <row r="14" spans="1:15">
      <c r="B14" s="104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6"/>
    </row>
    <row r="15" spans="1:15" ht="135" customHeight="1">
      <c r="B15" s="10"/>
      <c r="C15" s="113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O17"/>
  <sheetViews>
    <sheetView workbookViewId="0">
      <selection activeCell="C13" sqref="C13:O13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74" t="s">
        <v>2</v>
      </c>
      <c r="C2" s="75"/>
      <c r="D2" s="54" t="str">
        <f>[4]Template!D2</f>
        <v>Magento</v>
      </c>
      <c r="E2" s="54"/>
      <c r="F2" s="76"/>
      <c r="G2" s="76"/>
      <c r="H2" s="76"/>
      <c r="I2" s="77"/>
      <c r="J2" s="78"/>
      <c r="K2" s="78"/>
      <c r="L2" s="78"/>
      <c r="M2" s="78"/>
      <c r="N2" s="78"/>
      <c r="O2" s="79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34</v>
      </c>
      <c r="E4" s="27"/>
      <c r="F4" s="27"/>
      <c r="G4" s="27"/>
      <c r="H4" s="27"/>
      <c r="I4" s="52" t="s">
        <v>13</v>
      </c>
      <c r="J4" s="27" t="s">
        <v>16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/>
      <c r="E5" s="41"/>
      <c r="F5" s="41"/>
      <c r="G5" s="41"/>
      <c r="H5" s="41"/>
      <c r="I5" s="51" t="s">
        <v>10</v>
      </c>
      <c r="J5" s="41"/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/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8" t="s">
        <v>24</v>
      </c>
      <c r="C7" s="99"/>
      <c r="D7" s="45"/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100"/>
      <c r="C8" s="101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102"/>
      <c r="C9" s="103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14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6"/>
    </row>
    <row r="11" spans="1:15" ht="88.5" customHeight="1">
      <c r="B11" s="6"/>
      <c r="C11" s="121" t="s">
        <v>54</v>
      </c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9"/>
    </row>
    <row r="12" spans="1:15">
      <c r="B12" s="104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6"/>
    </row>
    <row r="13" spans="1:15" ht="105" customHeight="1">
      <c r="B13" s="30"/>
      <c r="C13" s="120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9"/>
    </row>
    <row r="14" spans="1:15">
      <c r="B14" s="104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6"/>
    </row>
    <row r="15" spans="1:15" ht="135" customHeight="1">
      <c r="B15" s="10"/>
      <c r="C15" s="113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O17"/>
  <sheetViews>
    <sheetView workbookViewId="0">
      <selection activeCell="C13" sqref="C13:O13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74" t="s">
        <v>2</v>
      </c>
      <c r="C2" s="75"/>
      <c r="D2" s="54" t="str">
        <f>[4]Template!D2</f>
        <v>Magento</v>
      </c>
      <c r="E2" s="54"/>
      <c r="F2" s="76"/>
      <c r="G2" s="76"/>
      <c r="H2" s="76"/>
      <c r="I2" s="77"/>
      <c r="J2" s="78"/>
      <c r="K2" s="78"/>
      <c r="L2" s="78"/>
      <c r="M2" s="78"/>
      <c r="N2" s="78"/>
      <c r="O2" s="79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35</v>
      </c>
      <c r="E4" s="27"/>
      <c r="F4" s="27"/>
      <c r="G4" s="27"/>
      <c r="H4" s="27"/>
      <c r="I4" s="52" t="s">
        <v>13</v>
      </c>
      <c r="J4" s="27" t="s">
        <v>36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 t="s">
        <v>37</v>
      </c>
      <c r="E5" s="41"/>
      <c r="F5" s="41"/>
      <c r="G5" s="41"/>
      <c r="H5" s="41"/>
      <c r="I5" s="51" t="s">
        <v>10</v>
      </c>
      <c r="J5" s="41" t="s">
        <v>47</v>
      </c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 t="str">
        <f>[4]Template!G9 &amp; "\" &amp;[4]Template!G10 &amp; "\" &amp;Helper_Data!J4</f>
        <v>TTV\TermCondition\Helper</v>
      </c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8" t="s">
        <v>24</v>
      </c>
      <c r="C7" s="99"/>
      <c r="D7" s="45" t="s">
        <v>46</v>
      </c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100"/>
      <c r="C8" s="101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102"/>
      <c r="C9" s="103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22" t="s">
        <v>48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6"/>
    </row>
    <row r="11" spans="1:15" ht="88.5" customHeight="1">
      <c r="B11" s="6"/>
      <c r="C11" s="121"/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9"/>
    </row>
    <row r="12" spans="1:15" ht="15" customHeight="1">
      <c r="B12" s="104" t="s">
        <v>49</v>
      </c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6"/>
    </row>
    <row r="13" spans="1:15" ht="105" customHeight="1">
      <c r="B13" s="30"/>
      <c r="C13" s="113" t="s">
        <v>58</v>
      </c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2"/>
    </row>
    <row r="14" spans="1:15">
      <c r="B14" s="104" t="s">
        <v>51</v>
      </c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6"/>
    </row>
    <row r="15" spans="1:15" ht="135" customHeight="1">
      <c r="B15" s="10"/>
      <c r="C15" s="113" t="s">
        <v>57</v>
      </c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O17"/>
  <sheetViews>
    <sheetView topLeftCell="A2" workbookViewId="0">
      <selection activeCell="N22" sqref="N22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74" t="s">
        <v>2</v>
      </c>
      <c r="C2" s="75"/>
      <c r="D2" s="54" t="str">
        <f>[4]Template!D2</f>
        <v>Magento</v>
      </c>
      <c r="E2" s="54"/>
      <c r="F2" s="76"/>
      <c r="G2" s="76"/>
      <c r="H2" s="76"/>
      <c r="I2" s="77"/>
      <c r="J2" s="78"/>
      <c r="K2" s="78"/>
      <c r="L2" s="78"/>
      <c r="M2" s="78"/>
      <c r="N2" s="78"/>
      <c r="O2" s="79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38</v>
      </c>
      <c r="E4" s="27"/>
      <c r="F4" s="27"/>
      <c r="G4" s="27"/>
      <c r="H4" s="27"/>
      <c r="I4" s="52" t="s">
        <v>13</v>
      </c>
      <c r="J4" s="27" t="s">
        <v>39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/>
      <c r="E5" s="41"/>
      <c r="F5" s="41"/>
      <c r="G5" s="41"/>
      <c r="H5" s="41"/>
      <c r="I5" s="51" t="s">
        <v>10</v>
      </c>
      <c r="J5" s="41"/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/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8" t="s">
        <v>24</v>
      </c>
      <c r="C7" s="99"/>
      <c r="D7" s="45"/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100"/>
      <c r="C8" s="101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102"/>
      <c r="C9" s="103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14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6"/>
    </row>
    <row r="11" spans="1:15" ht="88.5" customHeight="1">
      <c r="B11" s="6"/>
      <c r="C11" s="121" t="s">
        <v>59</v>
      </c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9"/>
    </row>
    <row r="12" spans="1:15">
      <c r="B12" s="104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6"/>
    </row>
    <row r="13" spans="1:15" ht="105" customHeight="1">
      <c r="B13" s="30"/>
      <c r="C13" s="120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9"/>
    </row>
    <row r="14" spans="1:15">
      <c r="B14" s="104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6"/>
    </row>
    <row r="15" spans="1:15" ht="135" customHeight="1">
      <c r="B15" s="10"/>
      <c r="C15" s="113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O17"/>
  <sheetViews>
    <sheetView workbookViewId="0">
      <selection activeCell="C11" sqref="C11:O11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74" t="s">
        <v>2</v>
      </c>
      <c r="C2" s="75"/>
      <c r="D2" s="54" t="str">
        <f>[4]Template!D2</f>
        <v>Magento</v>
      </c>
      <c r="E2" s="54"/>
      <c r="F2" s="76"/>
      <c r="G2" s="76"/>
      <c r="H2" s="76"/>
      <c r="I2" s="77"/>
      <c r="J2" s="78"/>
      <c r="K2" s="78"/>
      <c r="L2" s="78"/>
      <c r="M2" s="78"/>
      <c r="N2" s="78"/>
      <c r="O2" s="79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40</v>
      </c>
      <c r="E4" s="27"/>
      <c r="F4" s="27"/>
      <c r="G4" s="27"/>
      <c r="H4" s="27"/>
      <c r="I4" s="52" t="s">
        <v>13</v>
      </c>
      <c r="J4" s="27"/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/>
      <c r="E5" s="41"/>
      <c r="F5" s="41"/>
      <c r="G5" s="41"/>
      <c r="H5" s="41"/>
      <c r="I5" s="51" t="s">
        <v>10</v>
      </c>
      <c r="J5" s="41"/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/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8" t="s">
        <v>24</v>
      </c>
      <c r="C7" s="99"/>
      <c r="D7" s="45"/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100"/>
      <c r="C8" s="101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102"/>
      <c r="C9" s="103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14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6"/>
    </row>
    <row r="11" spans="1:15" ht="88.5" customHeight="1">
      <c r="B11" s="6"/>
      <c r="C11" s="121" t="s">
        <v>54</v>
      </c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9"/>
    </row>
    <row r="12" spans="1:15">
      <c r="B12" s="104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6"/>
    </row>
    <row r="13" spans="1:15" ht="105" customHeight="1">
      <c r="B13" s="30"/>
      <c r="C13" s="120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9"/>
    </row>
    <row r="14" spans="1:15">
      <c r="B14" s="104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6"/>
    </row>
    <row r="15" spans="1:15" ht="135" customHeight="1">
      <c r="B15" s="10"/>
      <c r="C15" s="113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O17"/>
  <sheetViews>
    <sheetView workbookViewId="0">
      <selection activeCell="C11" sqref="C11:O11"/>
    </sheetView>
  </sheetViews>
  <sheetFormatPr defaultRowHeight="15"/>
  <cols>
    <col min="1" max="1" width="4.5703125" style="1" customWidth="1"/>
    <col min="2" max="4" width="5.7109375" style="1" customWidth="1"/>
    <col min="5" max="5" width="8.7109375" style="1" customWidth="1"/>
    <col min="6" max="13" width="12.7109375" style="1" customWidth="1"/>
    <col min="14" max="14" width="25" style="1" customWidth="1"/>
    <col min="15" max="15" width="12.7109375" style="1" customWidth="1"/>
    <col min="16" max="16384" width="9.140625" style="1"/>
  </cols>
  <sheetData>
    <row r="2" spans="1:15">
      <c r="B2" s="74" t="s">
        <v>2</v>
      </c>
      <c r="C2" s="75"/>
      <c r="D2" s="54" t="str">
        <f>[4]Template!D2</f>
        <v>Magento</v>
      </c>
      <c r="E2" s="54"/>
      <c r="F2" s="76"/>
      <c r="G2" s="76"/>
      <c r="H2" s="76"/>
      <c r="I2" s="77"/>
      <c r="J2" s="78"/>
      <c r="K2" s="78"/>
      <c r="L2" s="78"/>
      <c r="M2" s="78"/>
      <c r="N2" s="78"/>
      <c r="O2" s="79"/>
    </row>
    <row r="3" spans="1:15">
      <c r="B3" s="46" t="s">
        <v>0</v>
      </c>
      <c r="C3" s="47"/>
      <c r="D3" s="3" t="str">
        <f>[4]Template!D3</f>
        <v>Nguyen Cong Binh</v>
      </c>
      <c r="E3" s="3"/>
      <c r="F3" s="25"/>
      <c r="G3" s="25"/>
      <c r="H3" s="25"/>
      <c r="I3" s="50"/>
      <c r="J3" s="25"/>
      <c r="K3" s="25"/>
      <c r="L3" s="25"/>
      <c r="M3" s="25"/>
      <c r="N3" s="25"/>
      <c r="O3" s="26"/>
    </row>
    <row r="4" spans="1:15">
      <c r="B4" s="46" t="s">
        <v>12</v>
      </c>
      <c r="C4" s="48"/>
      <c r="D4" s="45" t="s">
        <v>42</v>
      </c>
      <c r="E4" s="27"/>
      <c r="F4" s="27"/>
      <c r="G4" s="27"/>
      <c r="H4" s="27"/>
      <c r="I4" s="52" t="s">
        <v>13</v>
      </c>
      <c r="J4" s="27" t="s">
        <v>52</v>
      </c>
      <c r="K4" s="27"/>
      <c r="L4" s="27"/>
      <c r="M4" s="27"/>
      <c r="N4" s="27"/>
      <c r="O4" s="26"/>
    </row>
    <row r="5" spans="1:15">
      <c r="A5" s="20">
        <f ca="1">TODAY()</f>
        <v>42703</v>
      </c>
      <c r="B5" s="49" t="s">
        <v>11</v>
      </c>
      <c r="C5" s="67"/>
      <c r="D5" s="41"/>
      <c r="E5" s="41"/>
      <c r="F5" s="41"/>
      <c r="G5" s="41"/>
      <c r="H5" s="41"/>
      <c r="I5" s="51" t="s">
        <v>10</v>
      </c>
      <c r="J5" s="41"/>
      <c r="K5" s="44"/>
      <c r="L5" s="44"/>
      <c r="M5" s="44"/>
      <c r="N5" s="41"/>
      <c r="O5" s="18"/>
    </row>
    <row r="6" spans="1:15">
      <c r="A6" s="20"/>
      <c r="B6" s="49" t="s">
        <v>23</v>
      </c>
      <c r="C6" s="67"/>
      <c r="D6" s="41"/>
      <c r="E6" s="41"/>
      <c r="F6" s="41"/>
      <c r="G6" s="41"/>
      <c r="H6" s="41"/>
      <c r="I6" s="68"/>
      <c r="J6" s="41"/>
      <c r="K6" s="44"/>
      <c r="L6" s="44"/>
      <c r="M6" s="44"/>
      <c r="N6" s="41"/>
      <c r="O6" s="18"/>
    </row>
    <row r="7" spans="1:15">
      <c r="A7" s="20"/>
      <c r="B7" s="98" t="s">
        <v>24</v>
      </c>
      <c r="C7" s="99"/>
      <c r="D7" s="45"/>
      <c r="E7" s="45"/>
      <c r="F7" s="45"/>
      <c r="G7" s="45"/>
      <c r="H7" s="45"/>
      <c r="I7" s="39"/>
      <c r="J7" s="45"/>
      <c r="K7" s="69"/>
      <c r="L7" s="69"/>
      <c r="M7" s="69"/>
      <c r="N7" s="45"/>
      <c r="O7" s="26"/>
    </row>
    <row r="8" spans="1:15">
      <c r="A8" s="20"/>
      <c r="B8" s="100"/>
      <c r="C8" s="101"/>
      <c r="D8" s="70"/>
      <c r="E8" s="70"/>
      <c r="F8" s="70"/>
      <c r="G8" s="70"/>
      <c r="H8" s="70"/>
      <c r="I8" s="71"/>
      <c r="J8" s="70"/>
      <c r="K8" s="72"/>
      <c r="L8" s="72"/>
      <c r="M8" s="72"/>
      <c r="N8" s="70"/>
      <c r="O8" s="73"/>
    </row>
    <row r="9" spans="1:15">
      <c r="A9" s="20"/>
      <c r="B9" s="102"/>
      <c r="C9" s="103"/>
      <c r="D9" s="70"/>
      <c r="E9" s="70"/>
      <c r="F9" s="70"/>
      <c r="G9" s="70"/>
      <c r="H9" s="70"/>
      <c r="I9" s="71"/>
      <c r="J9" s="70"/>
      <c r="K9" s="72"/>
      <c r="L9" s="72"/>
      <c r="M9" s="72"/>
      <c r="N9" s="70"/>
      <c r="O9" s="73"/>
    </row>
    <row r="10" spans="1:15">
      <c r="B10" s="114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6"/>
    </row>
    <row r="11" spans="1:15" ht="88.5" customHeight="1">
      <c r="B11" s="6"/>
      <c r="C11" s="121" t="s">
        <v>56</v>
      </c>
      <c r="D11" s="118"/>
      <c r="E11" s="118"/>
      <c r="F11" s="118"/>
      <c r="G11" s="118"/>
      <c r="H11" s="118"/>
      <c r="I11" s="118"/>
      <c r="J11" s="118"/>
      <c r="K11" s="118"/>
      <c r="L11" s="118"/>
      <c r="M11" s="118"/>
      <c r="N11" s="118"/>
      <c r="O11" s="119"/>
    </row>
    <row r="12" spans="1:15">
      <c r="B12" s="104"/>
      <c r="C12" s="105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6"/>
    </row>
    <row r="13" spans="1:15" ht="105" customHeight="1">
      <c r="B13" s="30"/>
      <c r="C13" s="120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9"/>
    </row>
    <row r="14" spans="1:15">
      <c r="B14" s="104"/>
      <c r="C14" s="105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6"/>
    </row>
    <row r="15" spans="1:15" ht="135" customHeight="1">
      <c r="B15" s="10"/>
      <c r="C15" s="113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2"/>
    </row>
    <row r="16" spans="1:15">
      <c r="B16" s="4"/>
      <c r="C16" s="5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13"/>
    </row>
    <row r="17" spans="2:2">
      <c r="B17" s="14" t="s">
        <v>1</v>
      </c>
    </row>
  </sheetData>
  <mergeCells count="7">
    <mergeCell ref="C15:O15"/>
    <mergeCell ref="B7:C9"/>
    <mergeCell ref="B10:O10"/>
    <mergeCell ref="C11:O11"/>
    <mergeCell ref="B12:O12"/>
    <mergeCell ref="C13:O13"/>
    <mergeCell ref="B14:O14"/>
  </mergeCells>
  <pageMargins left="0.7" right="0.7" top="0.75" bottom="0.75" header="0.3" footer="0.3"/>
  <pageSetup scale="5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Template</vt:lpstr>
      <vt:lpstr>Block_RegisterCondition</vt:lpstr>
      <vt:lpstr>etc_adminhtml_system</vt:lpstr>
      <vt:lpstr>etc_module</vt:lpstr>
      <vt:lpstr>Helper_Data</vt:lpstr>
      <vt:lpstr>view_frontend_layout</vt:lpstr>
      <vt:lpstr>registration</vt:lpstr>
      <vt:lpstr>register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Chau Thanh</dc:creator>
  <cp:lastModifiedBy>Binh Nguyen Cong</cp:lastModifiedBy>
  <dcterms:created xsi:type="dcterms:W3CDTF">2016-10-11T10:18:22Z</dcterms:created>
  <dcterms:modified xsi:type="dcterms:W3CDTF">2016-11-29T08:50:57Z</dcterms:modified>
</cp:coreProperties>
</file>